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AARS\28-JR\AAR\AAR2024\LGAS - NCR\12-9-2025\Batch 4 (3)\PASIG CITY\final\AAR\"/>
    </mc:Choice>
  </mc:AlternateContent>
  <xr:revisionPtr revIDLastSave="0" documentId="13_ncr:1_{6E08B991-3713-480E-AC8D-38E275A7678A}" xr6:coauthVersionLast="36" xr6:coauthVersionMax="47" xr10:uidLastSave="{00000000-0000-0000-0000-000000000000}"/>
  <bookViews>
    <workbookView xWindow="0" yWindow="0" windowWidth="28800" windowHeight="10905" xr2:uid="{00000000-000D-0000-FFFF-FFFF00000000}"/>
  </bookViews>
  <sheets>
    <sheet name="Annex A" sheetId="6" r:id="rId1"/>
    <sheet name="Annex B" sheetId="7" r:id="rId2"/>
    <sheet name="Annex C" sheetId="8" r:id="rId3"/>
    <sheet name="Annex D" sheetId="9" r:id="rId4"/>
    <sheet name="Annex E" sheetId="10" r:id="rId5"/>
  </sheets>
  <definedNames>
    <definedName name="_xlnm.Print_Area" localSheetId="0">'Annex A'!$A$1:$L$256</definedName>
    <definedName name="_xlnm.Print_Area" localSheetId="1">'Annex B'!$A$1:$L$212</definedName>
    <definedName name="_xlnm.Print_Area" localSheetId="2">'Annex C'!$A$1:$K$44</definedName>
    <definedName name="_xlnm.Print_Area" localSheetId="3">'Annex D'!$A$1:$I$20</definedName>
    <definedName name="_xlnm.Print_Area" localSheetId="4">'Annex E'!$A$1:$F$203</definedName>
    <definedName name="_xlnm.Print_Titles" localSheetId="0">'Annex A'!$7:$7</definedName>
    <definedName name="_xlnm.Print_Titles" localSheetId="1">'Annex B'!$7:$7</definedName>
    <definedName name="_xlnm.Print_Titles" localSheetId="2">'Annex C'!$7:$7</definedName>
    <definedName name="_xlnm.Print_Titles" localSheetId="3">'Annex D'!$7:$7</definedName>
    <definedName name="_xlnm.Print_Titles" localSheetId="4">'Annex E'!$7:$8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JMvS+NTUjni2F41uEFd/Z8PSKQ4NnPMqhBKG1JU05ks="/>
    </ext>
  </extLst>
</workbook>
</file>

<file path=xl/calcChain.xml><?xml version="1.0" encoding="utf-8"?>
<calcChain xmlns="http://schemas.openxmlformats.org/spreadsheetml/2006/main">
  <c r="J39" i="8" l="1"/>
  <c r="J40" i="8" s="1"/>
  <c r="I39" i="8"/>
  <c r="I40" i="8" s="1"/>
  <c r="H39" i="8"/>
  <c r="H40" i="8" s="1"/>
  <c r="G39" i="8"/>
  <c r="G40" i="8" s="1"/>
  <c r="F39" i="8"/>
  <c r="F40" i="8" s="1"/>
  <c r="E39" i="8"/>
  <c r="E40" i="8" s="1"/>
  <c r="K38" i="8"/>
  <c r="K39" i="8" s="1"/>
  <c r="K35" i="8"/>
  <c r="K36" i="8" s="1"/>
  <c r="K40" i="8" s="1"/>
  <c r="K24" i="8"/>
</calcChain>
</file>

<file path=xl/sharedStrings.xml><?xml version="1.0" encoding="utf-8"?>
<sst xmlns="http://schemas.openxmlformats.org/spreadsheetml/2006/main" count="728" uniqueCount="543">
  <si>
    <t>CITY OF PASIG</t>
  </si>
  <si>
    <t>As at December 31, 2024</t>
  </si>
  <si>
    <t>All amounts in Philippine Peso unless otherwise stated</t>
  </si>
  <si>
    <t>ASSETS</t>
  </si>
  <si>
    <t>Investments</t>
  </si>
  <si>
    <t>Receivables</t>
  </si>
  <si>
    <t>Inventories</t>
  </si>
  <si>
    <t>Prepayments and Deferred Charges</t>
  </si>
  <si>
    <t>Total Current Assets</t>
  </si>
  <si>
    <t>Total Non-Current Assets</t>
  </si>
  <si>
    <t>Financial Liabilities</t>
  </si>
  <si>
    <t>Inter-Agency Payables</t>
  </si>
  <si>
    <t>Intra-Agency Payables</t>
  </si>
  <si>
    <t>Trust Liabilities</t>
  </si>
  <si>
    <t>Deferred Credits/Unearned Income</t>
  </si>
  <si>
    <t>Other Payables</t>
  </si>
  <si>
    <t>Total Current Liabilities</t>
  </si>
  <si>
    <t>Total Non-Current Liabilities</t>
  </si>
  <si>
    <t>NET ASSETS/EQUITY</t>
  </si>
  <si>
    <t>For the Year Ended December 31, 2024</t>
  </si>
  <si>
    <t>Financial Expenses</t>
  </si>
  <si>
    <t>Add (Deduct):</t>
  </si>
  <si>
    <t>Cash Inflows</t>
  </si>
  <si>
    <t>Collection from taxpayers</t>
  </si>
  <si>
    <t>Share from Internal Revenue Allotment</t>
  </si>
  <si>
    <t>Receipts from business/service income</t>
  </si>
  <si>
    <t>Total Cash Inflows</t>
  </si>
  <si>
    <t>Cash Outflows</t>
  </si>
  <si>
    <t>Payments to suppliers and creditors</t>
  </si>
  <si>
    <t>Payments to employees</t>
  </si>
  <si>
    <t>Total Cash Outflows</t>
  </si>
  <si>
    <t>Net Cash Flows from Operating Activities</t>
  </si>
  <si>
    <t>Proceeds from new borrowings</t>
  </si>
  <si>
    <t>Net Cash Flows from Financing Activities</t>
  </si>
  <si>
    <t>Prior Period Adjustments</t>
  </si>
  <si>
    <t>Surplus (Deficit) for the period</t>
  </si>
  <si>
    <t>Budgeted Amounts</t>
  </si>
  <si>
    <t>Difference: Original and Final Budget</t>
  </si>
  <si>
    <t>Actual Amounts</t>
  </si>
  <si>
    <t>Difference: Final Budget and Actual</t>
  </si>
  <si>
    <t>Original</t>
  </si>
  <si>
    <t>Final</t>
  </si>
  <si>
    <t>REVENUE</t>
  </si>
  <si>
    <t>Total Tax Revenue</t>
  </si>
  <si>
    <t>Total Non-Tax Revenue</t>
  </si>
  <si>
    <t>Total External Sources</t>
  </si>
  <si>
    <t>Total Revenue and Receipts</t>
  </si>
  <si>
    <t>EXPENDITURES</t>
  </si>
  <si>
    <t>Current Appropriations</t>
  </si>
  <si>
    <t>General Public Services</t>
  </si>
  <si>
    <t>P</t>
  </si>
  <si>
    <t>Capital Outlay</t>
  </si>
  <si>
    <t>Education</t>
  </si>
  <si>
    <t>Health, Nutrition and Population Control</t>
  </si>
  <si>
    <t>Labor and Employment</t>
  </si>
  <si>
    <t>Housing and Community Development</t>
  </si>
  <si>
    <t>Social Services and Social Welfare</t>
  </si>
  <si>
    <t>Economic Services</t>
  </si>
  <si>
    <t>Other Purpose:</t>
  </si>
  <si>
    <t>Debt Service</t>
  </si>
  <si>
    <t>Amortization</t>
  </si>
  <si>
    <t>LDRRMF</t>
  </si>
  <si>
    <t>20% Development Fund</t>
  </si>
  <si>
    <t>Allocation for Senior Citizens and PWD</t>
  </si>
  <si>
    <t>Others</t>
  </si>
  <si>
    <t>Total Current Appropriations</t>
  </si>
  <si>
    <t>Continuing Appropriations</t>
  </si>
  <si>
    <t xml:space="preserve">   Capital Outlay</t>
  </si>
  <si>
    <t>Other Services</t>
  </si>
  <si>
    <t>Total Continuing Appropriations</t>
  </si>
  <si>
    <t>Total Appropriations</t>
  </si>
  <si>
    <t>STATEMENT OF FINANCIAL POSITION (By Fund)</t>
  </si>
  <si>
    <t>GENERAL FUND</t>
  </si>
  <si>
    <t>SPECIAL EDUCATION FUND</t>
  </si>
  <si>
    <t>TRUST FUND</t>
  </si>
  <si>
    <t>TOTAL</t>
  </si>
  <si>
    <t>CURRENT ASSETS</t>
  </si>
  <si>
    <t>Cash and Cash Equivalent</t>
  </si>
  <si>
    <t>Cash Local Treasury</t>
  </si>
  <si>
    <t>Petty Cash</t>
  </si>
  <si>
    <t>Cash in Bank - Local Currency, Current Account</t>
  </si>
  <si>
    <t>Cash in Bank - Local Currency, Savings Account</t>
  </si>
  <si>
    <t>Cash in Bank - Local Currency, Time Deposits</t>
  </si>
  <si>
    <t>Total Cash and Cash Equivalents</t>
  </si>
  <si>
    <t>Total Investments</t>
  </si>
  <si>
    <t>Accounts Receivable</t>
  </si>
  <si>
    <t>Real Property Tax Receivable</t>
  </si>
  <si>
    <t>Special Education Tax Receivable</t>
  </si>
  <si>
    <t>Interests Receivable</t>
  </si>
  <si>
    <t>Loans Receivable - Others</t>
  </si>
  <si>
    <t>Due from NGAs</t>
  </si>
  <si>
    <t>Due from  LGUs</t>
  </si>
  <si>
    <t>Due from Other Funds</t>
  </si>
  <si>
    <t>Advances for Payroll</t>
  </si>
  <si>
    <t>Advances to Special Disbursing Officer</t>
  </si>
  <si>
    <t>Advances to Officers and Employees</t>
  </si>
  <si>
    <t>Receivables - Disallowances/Charges</t>
  </si>
  <si>
    <t>Due from Officers and Employees</t>
  </si>
  <si>
    <t>Total Receivables</t>
  </si>
  <si>
    <t>Merchandise Inventory</t>
  </si>
  <si>
    <t>Food Supplies for Distribution</t>
  </si>
  <si>
    <t>Welfare Goods for Distribution</t>
  </si>
  <si>
    <t>Drugs and Medicines for Distribution</t>
  </si>
  <si>
    <t>Medical, Dental and Laboratory Supplies for Distribution</t>
  </si>
  <si>
    <t>Property and Equipment for Distribution</t>
  </si>
  <si>
    <t>Other Supplies and Materials for Distribution</t>
  </si>
  <si>
    <t>Office Supplies Inventory</t>
  </si>
  <si>
    <t>Accountable Forms, Plates and Stickers</t>
  </si>
  <si>
    <t>Non-Accountable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</si>
  <si>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</si>
  <si>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</si>
  <si>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</si>
  <si>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</si>
  <si>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Agricultural and Marine Supplies Inventory</t>
  </si>
  <si>
    <t>Textbooks and Instructional Materials Inventory</t>
  </si>
  <si>
    <t>Military, Police and Traffic Supplies Inventory</t>
  </si>
  <si>
    <t>Chemical and Filtering Supplies Inventory</t>
  </si>
  <si>
    <t>Construction Materials Inventory</t>
  </si>
  <si>
    <t>Other Supplies and Materials Inventory</t>
  </si>
  <si>
    <t>Total Inventories</t>
  </si>
  <si>
    <t>Advances to Contractors</t>
  </si>
  <si>
    <t>Prepaid Rent</t>
  </si>
  <si>
    <t>Prepaid Interest</t>
  </si>
  <si>
    <t>Prepaid Insurance</t>
  </si>
  <si>
    <t>Other Prepayments</t>
  </si>
  <si>
    <t>Deferred Charges</t>
  </si>
  <si>
    <t>Discount on Advance Payments</t>
  </si>
  <si>
    <t>Total Prepayments and Deferred Charges</t>
  </si>
  <si>
    <t>NON-CURRENT ASSETS</t>
  </si>
  <si>
    <t>Investments in Stocks</t>
  </si>
  <si>
    <t>Guaranty Deposits</t>
  </si>
  <si>
    <t>Loans Receivables - Others</t>
  </si>
  <si>
    <t>Other Receivables</t>
  </si>
  <si>
    <t>Investment Property</t>
  </si>
  <si>
    <t>Investment Property, Buildings</t>
  </si>
  <si>
    <t>Total Investment Property</t>
  </si>
  <si>
    <t>Property, Plant and Equipment</t>
  </si>
  <si>
    <t>Land</t>
  </si>
  <si>
    <t>Other Land Improvements</t>
  </si>
  <si>
    <t>Road Networks</t>
  </si>
  <si>
    <t>Flood Control Systems</t>
  </si>
  <si>
    <t>Sewer Systems</t>
  </si>
  <si>
    <t>Water Supply Systems</t>
  </si>
  <si>
    <t>Power Supply Systems</t>
  </si>
  <si>
    <t>Parks, Plazas and Monuments</t>
  </si>
  <si>
    <t>Other Infrastructure Assets</t>
  </si>
  <si>
    <t>Buildings</t>
  </si>
  <si>
    <t>School Buildings</t>
  </si>
  <si>
    <t>Hospitals and Health Centers</t>
  </si>
  <si>
    <t>Markets</t>
  </si>
  <si>
    <t>Slaughterhouses</t>
  </si>
  <si>
    <t>Other Structures</t>
  </si>
  <si>
    <t>Machinery</t>
  </si>
  <si>
    <t>Office Equipment</t>
  </si>
  <si>
    <t>Information and Communication Technology Equipment</t>
  </si>
  <si>
    <t>Agricultural and Forestry Equipment</t>
  </si>
  <si>
    <t>Communication Equipment</t>
  </si>
  <si>
    <t>Construction and Heavy Equipment</t>
  </si>
  <si>
    <t>Disaster Response and Rescue Equipment</t>
  </si>
  <si>
    <t>Military, Police and Security Equipment</t>
  </si>
  <si>
    <t>Medical Equipment</t>
  </si>
  <si>
    <t>Printing Equipment</t>
  </si>
  <si>
    <t>Sports Equipment</t>
  </si>
  <si>
    <t>Technical and Scientific Equipment</t>
  </si>
  <si>
    <t>Other Machinery and Equipment</t>
  </si>
  <si>
    <t>Motor Vehicles</t>
  </si>
  <si>
    <t>Trains</t>
  </si>
  <si>
    <t>Watercrafts</t>
  </si>
  <si>
    <t>Other Transportation Equipment</t>
  </si>
  <si>
    <t>Furniture and Fixtures</t>
  </si>
  <si>
    <t>Books</t>
  </si>
  <si>
    <t>Leased Assets, Buildings and Other Structures</t>
  </si>
  <si>
    <t>Construction in Progress - Land Improvements</t>
  </si>
  <si>
    <t>Construction in Progress - Infrastructure Assets</t>
  </si>
  <si>
    <t>Construction in Progress - Buildings and Other Structures</t>
  </si>
  <si>
    <t>Work/Zoo Animals</t>
  </si>
  <si>
    <t>Other Property, Plant and Equipment</t>
  </si>
  <si>
    <t>Total Property, Plant and Equipment</t>
  </si>
  <si>
    <t>Intangible Assets</t>
  </si>
  <si>
    <t>Computer Software</t>
  </si>
  <si>
    <t>Other Intangible Assets</t>
  </si>
  <si>
    <t>Total Intangible Assets</t>
  </si>
  <si>
    <t>TOTAL ASSETS</t>
  </si>
  <si>
    <t>LIABILITIES AND NET ASSETS/EQUITY</t>
  </si>
  <si>
    <t>CURRENT LIABILITY</t>
  </si>
  <si>
    <t>Accounts Payable</t>
  </si>
  <si>
    <t>Due to Officers and Employees</t>
  </si>
  <si>
    <t>Total Financial Liabilities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</si>
  <si>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</si>
  <si>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</si>
  <si>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</si>
  <si>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</si>
  <si>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</si>
  <si>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</si>
  <si>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</si>
  <si>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</si>
  <si>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Due to Other Funds</t>
  </si>
  <si>
    <t>Total Intra-Agency Payables</t>
  </si>
  <si>
    <t>Trust Liabilities - Disaster Risk Reduction and Management Fund</t>
  </si>
  <si>
    <t>Bail Bonds Payable</t>
  </si>
  <si>
    <t>Guaranty/Security Deposits Payable</t>
  </si>
  <si>
    <t>Total Trust Liabilities</t>
  </si>
  <si>
    <t>Deferred Real Property Tax</t>
  </si>
  <si>
    <t>Deferred Special Education Tax</t>
  </si>
  <si>
    <t>Deferred Finance Lease Revenue</t>
  </si>
  <si>
    <t>Other Deferred Credits</t>
  </si>
  <si>
    <t>Total Deferred Credits/Unearned Income</t>
  </si>
  <si>
    <t>Total Other Payables</t>
  </si>
  <si>
    <t>NON-CURRENT LIABILITIES</t>
  </si>
  <si>
    <t>TOTAL LIABILITIES</t>
  </si>
  <si>
    <t>Net Assets/Equity</t>
  </si>
  <si>
    <t>Total Net Assets/Equity</t>
  </si>
  <si>
    <t>TOTAL LIABILITIES AND NET ASSETS/EQUITY</t>
  </si>
  <si>
    <t xml:space="preserve">*The difference of P657,832,371.93 in the Receivables and Intra-Agency Payables in the Statement of Financial Position in Part I and IV of this Report is due to elimination of the reciprocal accounts, Due from and Due to Other Funds. </t>
  </si>
  <si>
    <t>STATEMENT OF FINANCIAL PERFORMANCE (By Fund)</t>
  </si>
  <si>
    <t>TAX REVENUE</t>
  </si>
  <si>
    <t>Tax Revenue - Individual and Corporation</t>
  </si>
  <si>
    <t>Professional Tax</t>
  </si>
  <si>
    <t xml:space="preserve">Community Tax </t>
  </si>
  <si>
    <t>Tax Revenue - Property</t>
  </si>
  <si>
    <t>Real Property Tax- Basic</t>
  </si>
  <si>
    <t>Discount on Real Property Tax- Basic</t>
  </si>
  <si>
    <t>Special Education Tax</t>
  </si>
  <si>
    <t>Discount on Special Education Tax</t>
  </si>
  <si>
    <t>Special Levy on Idle Lands</t>
  </si>
  <si>
    <t>Real Property Transfer Tax</t>
  </si>
  <si>
    <t>Tax Revenue - Goods and Services</t>
  </si>
  <si>
    <t xml:space="preserve">Business Tax  </t>
  </si>
  <si>
    <t xml:space="preserve">Tax on Delivery  Trucks and Vans </t>
  </si>
  <si>
    <t xml:space="preserve">Amusement Tax </t>
  </si>
  <si>
    <t xml:space="preserve">Franchise Tax  </t>
  </si>
  <si>
    <t xml:space="preserve">Printing and Publication Tax </t>
  </si>
  <si>
    <t>Tax Revenue - Others</t>
  </si>
  <si>
    <t>Other Taxes</t>
  </si>
  <si>
    <t>Tax Revenue - Fines and Penalties</t>
  </si>
  <si>
    <t>Tax Revenue - Fines and Penalties - Taxes on Individual and Corporation</t>
  </si>
  <si>
    <t>Tax Revenue - Fines and Penalties - Property Taxes</t>
  </si>
  <si>
    <t>Tax Revenue - Fines and Penalties - Taxes on Goods and Services</t>
  </si>
  <si>
    <t>Tax Revenue - Fines and Penalties - Other Taxes</t>
  </si>
  <si>
    <t>SHARE FROM NATIONAL TAXES</t>
  </si>
  <si>
    <t>Share from Internal Revenue Collections (IRA)</t>
  </si>
  <si>
    <t>OTHER SHARE FROM NATIONAL TAXES</t>
  </si>
  <si>
    <t>Share from Economic Zones</t>
  </si>
  <si>
    <t>Total Other Share from National Taxes</t>
  </si>
  <si>
    <t>SERVICE AND BUSINESS INCOME</t>
  </si>
  <si>
    <t>Service Income</t>
  </si>
  <si>
    <t>Permit Fees</t>
  </si>
  <si>
    <t>Registration Fees</t>
  </si>
  <si>
    <t>Clearance and Certification Fees</t>
  </si>
  <si>
    <t>Inspection Fees</t>
  </si>
  <si>
    <t>Processing Fees</t>
  </si>
  <si>
    <t>Fees for Sealing  and Licensing of Weights and Measures</t>
  </si>
  <si>
    <t xml:space="preserve">Fines and Penalties - Service Income </t>
  </si>
  <si>
    <t>Other Service Income</t>
  </si>
  <si>
    <t>Business Income</t>
  </si>
  <si>
    <t>School Fees</t>
  </si>
  <si>
    <t>Affiliation Fees</t>
  </si>
  <si>
    <t>Seminar/Training Fees</t>
  </si>
  <si>
    <t xml:space="preserve">Rent Income </t>
  </si>
  <si>
    <t xml:space="preserve">Parking Fees </t>
  </si>
  <si>
    <t>Receipts from Operation of Hostels/Dormitories and Other Like Facilities</t>
  </si>
  <si>
    <t>Receipt from Market Operations</t>
  </si>
  <si>
    <t xml:space="preserve">Receipt from Slaughterhouse Operation </t>
  </si>
  <si>
    <t>Receipt from Cemetery Operations</t>
  </si>
  <si>
    <t>Garbage Fees</t>
  </si>
  <si>
    <t>Hospital Fees</t>
  </si>
  <si>
    <t xml:space="preserve">Interest Income </t>
  </si>
  <si>
    <t>Lease Revenue</t>
  </si>
  <si>
    <t xml:space="preserve">Fines and Penalties - Business Income </t>
  </si>
  <si>
    <t>Other Business Income</t>
  </si>
  <si>
    <t>Total Service and Business Income</t>
  </si>
  <si>
    <t>SHARES, GRANTS AND DONATIONS</t>
  </si>
  <si>
    <t>Share</t>
  </si>
  <si>
    <t>Share from PCSO</t>
  </si>
  <si>
    <t>Grants and Donations</t>
  </si>
  <si>
    <t>Grants and Donations in Cash</t>
  </si>
  <si>
    <t xml:space="preserve">Grants and Donations in Kind </t>
  </si>
  <si>
    <t>Total Shares, Grants and Donations</t>
  </si>
  <si>
    <t>OTHER INCOME</t>
  </si>
  <si>
    <t>Gains</t>
  </si>
  <si>
    <t>Gain on Sale of Property, Plant and Equipment</t>
  </si>
  <si>
    <t>Total Gains</t>
  </si>
  <si>
    <t>Miscellaneous Income</t>
  </si>
  <si>
    <t>Losses</t>
  </si>
  <si>
    <t>Loss of Assets</t>
  </si>
  <si>
    <t>Total Other Income</t>
  </si>
  <si>
    <t>TOTAL REVENUE</t>
  </si>
  <si>
    <t>LESS:  CURRENT OPERATING EXPENSES</t>
  </si>
  <si>
    <t>PERSONNEL SERVICES</t>
  </si>
  <si>
    <t>Salaries and Wages</t>
  </si>
  <si>
    <t>Salaries and Wages - Regular</t>
  </si>
  <si>
    <t>Salaries and Wages - Casual/Contractual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</si>
  <si>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</si>
  <si>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</si>
  <si>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</si>
  <si>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</si>
  <si>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</si>
  <si>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</si>
  <si>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 Allowance</t>
  </si>
  <si>
    <t>Productivity Incentive Allowance</t>
  </si>
  <si>
    <t>Honoraria</t>
  </si>
  <si>
    <t>Hazard Pay</t>
  </si>
  <si>
    <t>Longevity Pay</t>
  </si>
  <si>
    <t>Overtime and Night Pay</t>
  </si>
  <si>
    <t>Year End Bonus</t>
  </si>
  <si>
    <t>Cash Gift</t>
  </si>
  <si>
    <t>Other Bonuses and Allowances</t>
  </si>
  <si>
    <t>Personnel Benefits Contributions</t>
  </si>
  <si>
    <t>Retirement and Life Insurance Premiums</t>
  </si>
  <si>
    <t>Pag-IBIG Contributions</t>
  </si>
  <si>
    <t>PhilHealth Contributions</t>
  </si>
  <si>
    <t>Employees Compensation Insurance Premiums</t>
  </si>
  <si>
    <t>Other Personnel Benefits</t>
  </si>
  <si>
    <t>Terminal Leave Benefits</t>
  </si>
  <si>
    <t>Total Personnel Services</t>
  </si>
  <si>
    <t>MAINTENANCE AND OTHER OPERATING EXPENSES</t>
  </si>
  <si>
    <t>Traveling Expenses</t>
  </si>
  <si>
    <t>Traveling Expenses - Local</t>
  </si>
  <si>
    <t>Traveling Expenses - Foreign</t>
  </si>
  <si>
    <t>Training and Scholarship Expenses</t>
  </si>
  <si>
    <t>Training Expenses</t>
  </si>
  <si>
    <t>Scholarship Grants/Expenses</t>
  </si>
  <si>
    <t>Supplies and Materials Expenses</t>
  </si>
  <si>
    <t xml:space="preserve">Office Supplies Expenses </t>
  </si>
  <si>
    <t>Accountable Forms Expenses</t>
  </si>
  <si>
    <t>Non-Accountable Forms Expenses</t>
  </si>
  <si>
    <t>Animal/Zoological Supplies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</si>
  <si>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</si>
  <si>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</si>
  <si>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</si>
  <si>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</si>
  <si>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</si>
  <si>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Agricultural and Marine Supplies Expenses</t>
  </si>
  <si>
    <t>Textbooks and Instructional Materials Expenses</t>
  </si>
  <si>
    <t>Chemical and Filtering Supplies Expenses</t>
  </si>
  <si>
    <t>Semi-Expendable Machinery and Equipment Expenses</t>
  </si>
  <si>
    <t>Semi-Expendable Furniture, Fixtures and Books Expenses</t>
  </si>
  <si>
    <t>Other Supplies and Materials Expenses</t>
  </si>
  <si>
    <t>Utility Expenses</t>
  </si>
  <si>
    <t>Water Expenses</t>
  </si>
  <si>
    <t>Electricity Expenses</t>
  </si>
  <si>
    <t>Communication Expenses</t>
  </si>
  <si>
    <t xml:space="preserve">Postage and Courier Services </t>
  </si>
  <si>
    <t>Telephone Expenses</t>
  </si>
  <si>
    <t>Internet Subscription Expenses</t>
  </si>
  <si>
    <t>Awards/Rewards and Prizes</t>
  </si>
  <si>
    <t>Awards/Rewards Expenses</t>
  </si>
  <si>
    <t>Prizes</t>
  </si>
  <si>
    <t>Survey, Research, Exploration and Development Expenses</t>
  </si>
  <si>
    <t>Research, Exploration and Development Expenses</t>
  </si>
  <si>
    <t>Demolition/Relocation and Desilting/Dredging Expenses</t>
  </si>
  <si>
    <t>Demolition and Relocation Expenses</t>
  </si>
  <si>
    <t>Desilting and Dredging Expenses</t>
  </si>
  <si>
    <t>Confidential, Intelligence and Extraordinary Expenses</t>
  </si>
  <si>
    <t>Extraordinary and Miscellaneous Expenses</t>
  </si>
  <si>
    <t>Professional Services</t>
  </si>
  <si>
    <t>Auditing Services</t>
  </si>
  <si>
    <t>Consultancy Services</t>
  </si>
  <si>
    <t>Other Professional Services</t>
  </si>
  <si>
    <t>General Services</t>
  </si>
  <si>
    <t>Environment/Sanitary Services</t>
  </si>
  <si>
    <t>Janitorial Services</t>
  </si>
  <si>
    <t>Security Services</t>
  </si>
  <si>
    <t>Other General Services</t>
  </si>
  <si>
    <t>Repairs and Maintenance</t>
  </si>
  <si>
    <t>Repairs and Maintenance - Land Improvements</t>
  </si>
  <si>
    <t>Repairs and Maintenance - Infrastructure Assets</t>
  </si>
  <si>
    <t>Repairs and Maintenance - Buildings and Other Structures</t>
  </si>
  <si>
    <t xml:space="preserve">Repairs and Maintenance - Machinery and Equipment </t>
  </si>
  <si>
    <t xml:space="preserve">Repairs and Maintenance - Transportation Equipment  </t>
  </si>
  <si>
    <t>Repairs and Maintenance - Other Property, Plant and Equipment</t>
  </si>
  <si>
    <t>Taxes, Insurance Premiums and Other Fees</t>
  </si>
  <si>
    <t>Taxes, Duties and Licenses</t>
  </si>
  <si>
    <t xml:space="preserve">Fidelity Bond Premiums </t>
  </si>
  <si>
    <t>Insurance Expenses</t>
  </si>
  <si>
    <t>Other Maintenance and Operating Expenses</t>
  </si>
  <si>
    <t>Advertising Expenses</t>
  </si>
  <si>
    <t>Printing and Publication Expenses</t>
  </si>
  <si>
    <t>Representation Expenses</t>
  </si>
  <si>
    <t>Rent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</si>
  <si>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</si>
  <si>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</si>
  <si>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</si>
  <si>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</si>
  <si>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Total Maintenance and Other Operating Expenses</t>
  </si>
  <si>
    <t>FINANCIAL EXPENSES</t>
  </si>
  <si>
    <t>Bank Charges</t>
  </si>
  <si>
    <t>Total Financial Expenses</t>
  </si>
  <si>
    <t>NON-CASH EXPENSES</t>
  </si>
  <si>
    <t>Depreciation</t>
  </si>
  <si>
    <t>Depreciation - Investment Property</t>
  </si>
  <si>
    <t>Depreciation - Land Improvements</t>
  </si>
  <si>
    <t>Depreciation - Infrastructure Assets</t>
  </si>
  <si>
    <t>Depreciation - Buildings and Other Structures</t>
  </si>
  <si>
    <t xml:space="preserve">Depreciation - Machinery  and Equipment </t>
  </si>
  <si>
    <t>Depreciation - Transportation Equipment</t>
  </si>
  <si>
    <t xml:space="preserve">Depreciation - Furniture, Fixtures and Books  </t>
  </si>
  <si>
    <t>Depreciation - Leased Assets</t>
  </si>
  <si>
    <t>Depreciation - Other Property, Plant and Equipment</t>
  </si>
  <si>
    <t>Amortization - Intangible Assets</t>
  </si>
  <si>
    <t>Total Non-Cash Expenses</t>
  </si>
  <si>
    <t>TOTAL CURRENT OPERATING EXPENSES</t>
  </si>
  <si>
    <t>SURPLUS (DEFICIT) FROM CURRENT OPERATIONS</t>
  </si>
  <si>
    <t xml:space="preserve">ADD (DEDUCT): </t>
  </si>
  <si>
    <t>TRANSFERS, ASSISTANCE AND SUBSIDY</t>
  </si>
  <si>
    <t>Financial Assistance/Subsidy to</t>
  </si>
  <si>
    <t>Subsidy to NGAs</t>
  </si>
  <si>
    <t>Subsidy to Other Local Government Units</t>
  </si>
  <si>
    <t>Subsidy to Other  Funds</t>
  </si>
  <si>
    <t>Subsidies - Others</t>
  </si>
  <si>
    <t>Transfers of Unspent Current Year DRRM Funds to the Trust Funds</t>
  </si>
  <si>
    <t>Total Transfers, Assistance and Subsidy to</t>
  </si>
  <si>
    <t>NET FINANCIAL ASSISTANCE/SUBSIDY</t>
  </si>
  <si>
    <t>SURPLUS (DEFICIT) FOR THE PERIOD</t>
  </si>
  <si>
    <t>CITY  OF PASIG</t>
  </si>
  <si>
    <t>STATEMENT OF CASH FLOWS (By Fund)</t>
  </si>
  <si>
    <t>CASH FLOWS FROM OPERATING ACTIVITIES</t>
  </si>
  <si>
    <t>Interest income</t>
  </si>
  <si>
    <t>Other receipts</t>
  </si>
  <si>
    <t>Other expenses</t>
  </si>
  <si>
    <t>CASH FLOWS FROM INVESTING ACTIVITIES</t>
  </si>
  <si>
    <t>Proceeds from sale of PPE</t>
  </si>
  <si>
    <t>Collection of principal on loans to other entities</t>
  </si>
  <si>
    <t>Purchase/Construction of Property, Plant and Equipment</t>
  </si>
  <si>
    <t>Grant of loans</t>
  </si>
  <si>
    <t>Net Cash Flows from Investing Activities</t>
  </si>
  <si>
    <t>CASH FLOWS FROM FINANCING ACTIVITIES</t>
  </si>
  <si>
    <t>Payment of loan amortization</t>
  </si>
  <si>
    <t>Total Cash Provided by Operating, Investing and Financing Activities</t>
  </si>
  <si>
    <t>Cash at beginning of the year</t>
  </si>
  <si>
    <t>CASH AT END OF THE YEAR</t>
  </si>
  <si>
    <t>Balance at beginning of year</t>
  </si>
  <si>
    <t>Restated balance</t>
  </si>
  <si>
    <t>Changes in net assets/equity during the year</t>
  </si>
  <si>
    <t>Adjustment of net revenue recognized directly in net assets/equity</t>
  </si>
  <si>
    <t>Total recognized revenue and expenses for the period</t>
  </si>
  <si>
    <t>Balance at December 31, 2024</t>
  </si>
  <si>
    <t>STATEMENT OF COMPARISON OF BUDGET and ACTUAL AMOUNTS BY FUNDS</t>
  </si>
  <si>
    <t>Local Sources</t>
  </si>
  <si>
    <t xml:space="preserve">     a. Tax Revenue - Property</t>
  </si>
  <si>
    <t xml:space="preserve">     b. Tax Revenue - Goods and Services</t>
  </si>
  <si>
    <t xml:space="preserve">     c. Other Local Taxes</t>
  </si>
  <si>
    <t xml:space="preserve">     a. Service Income</t>
  </si>
  <si>
    <t xml:space="preserve">     b. Business Income</t>
  </si>
  <si>
    <t xml:space="preserve">     c. Other Income and Receipts</t>
  </si>
  <si>
    <t>Total Non-tax Revenue</t>
  </si>
  <si>
    <t>External Sources</t>
  </si>
  <si>
    <t xml:space="preserve">     a. Share from Ecozone</t>
  </si>
  <si>
    <t xml:space="preserve">     b. Share from EVAT</t>
  </si>
  <si>
    <t xml:space="preserve">     a. Grants and Donation</t>
  </si>
  <si>
    <t>Receipts from Borrowings</t>
  </si>
  <si>
    <t xml:space="preserve">   Personal Services</t>
  </si>
  <si>
    <t xml:space="preserve">   Maintenance and Other Operating Expenses</t>
  </si>
  <si>
    <t xml:space="preserve">   Financial Expenses</t>
  </si>
  <si>
    <t xml:space="preserve">   Amortization</t>
  </si>
  <si>
    <t xml:space="preserve">  1. Tax Revenue</t>
  </si>
  <si>
    <t xml:space="preserve">  2. Non-Tax Revenue</t>
  </si>
  <si>
    <t xml:space="preserve">  2. Share from GOCCs</t>
  </si>
  <si>
    <t xml:space="preserve">  3. Other Shares from National Tax Collections</t>
  </si>
  <si>
    <t xml:space="preserve">  4. Other Receipts</t>
  </si>
  <si>
    <t xml:space="preserve">  5. Capital/Investment Receipts</t>
  </si>
  <si>
    <t xml:space="preserve">  Accumulated Depreciation - Investment Property, Buildings</t>
  </si>
  <si>
    <t xml:space="preserve">  Accumulated Impairment Losses-Land</t>
  </si>
  <si>
    <t xml:space="preserve">  Accumulated Depreciation-Other Land Improvements</t>
  </si>
  <si>
    <t xml:space="preserve">  Accumulated Impairment Losses-Other Land Improvements</t>
  </si>
  <si>
    <t xml:space="preserve">  Accumulated Depreciation-Road Networks</t>
  </si>
  <si>
    <t xml:space="preserve">  Accumulated Impairment Losses-Road Networks</t>
  </si>
  <si>
    <t xml:space="preserve">  Accumulated Depreciation-Flood Control Systems</t>
  </si>
  <si>
    <t xml:space="preserve">  Accumulated Impairment Losses-Flood Control Systems</t>
  </si>
  <si>
    <t xml:space="preserve">  Accumulated Depreciation-Sewer Systems</t>
  </si>
  <si>
    <t xml:space="preserve">  Accumulated Impairment Losses-Sewer Systems</t>
  </si>
  <si>
    <t xml:space="preserve">  Accumulated Depreciation-Water Supply Systems</t>
  </si>
  <si>
    <t xml:space="preserve">  Accumulated Impairment Losses-Water Supply Systems</t>
  </si>
  <si>
    <t xml:space="preserve">  Accumulated Depreciation-Power Supply Systems</t>
  </si>
  <si>
    <t xml:space="preserve">  Accumulated Impairment Losses-Power Supply Systems</t>
  </si>
  <si>
    <t xml:space="preserve">  Accumulated Depreciation-Parks, Plazas and Monuments</t>
  </si>
  <si>
    <t xml:space="preserve">  Accumulated Impairment Losses-Parks, Plazas and 
Monuments</t>
  </si>
  <si>
    <t xml:space="preserve">  Accumulated Depreciation-Other Infrastructure Assets</t>
  </si>
  <si>
    <t xml:space="preserve">  Accumulated Impairment Losses-Other Infrastructure Assets</t>
  </si>
  <si>
    <t xml:space="preserve">  Accumulated Impairment Losses-Buildings</t>
  </si>
  <si>
    <t xml:space="preserve">  Accumulated Depreciation-Buildings</t>
  </si>
  <si>
    <t xml:space="preserve">  Accumulated Depreciation-School Buildings</t>
  </si>
  <si>
    <t xml:space="preserve">  Accumulated Impairment Losses-School Buildings</t>
  </si>
  <si>
    <t xml:space="preserve">  Accumulated Impairment Losses-Hospitals and Health 
Centers</t>
  </si>
  <si>
    <t xml:space="preserve">  Accumulated Depreciation-Hospitals and Health Centers</t>
  </si>
  <si>
    <t xml:space="preserve">  Accumulated Depreciation-Markets</t>
  </si>
  <si>
    <t xml:space="preserve">  Accumulated Impairment Losses-Markets</t>
  </si>
  <si>
    <t xml:space="preserve">  Accumulated Depreciation-Slaughterhouses</t>
  </si>
  <si>
    <t xml:space="preserve">  Accumulated Impairment Losses-Slaughterhouses</t>
  </si>
  <si>
    <t xml:space="preserve">  Accumulated Depreciation-Other Structures</t>
  </si>
  <si>
    <t xml:space="preserve">  Accumulated Impairment Losses-Other Structures</t>
  </si>
  <si>
    <t xml:space="preserve">  Accumulated Depreciation-Machinery</t>
  </si>
  <si>
    <t xml:space="preserve">  Accumulated Impairment Losses-Machinery</t>
  </si>
  <si>
    <t xml:space="preserve">  Accumulated Depreciation-Office Equipment</t>
  </si>
  <si>
    <t xml:space="preserve">  Accumulated Impairment Losses-Office Equipment</t>
  </si>
  <si>
    <t xml:space="preserve">  Accumulated Depreciation-Information and Communication Technology Equipment</t>
  </si>
  <si>
    <t xml:space="preserve">  Accumulated Impairment Losses-Information and Communication Technology Equipment</t>
  </si>
  <si>
    <t xml:space="preserve">  Accumulated Depreciation-Agricultural and Forestry 
Equipment</t>
  </si>
  <si>
    <t xml:space="preserve">  Accumulated Impairment Losses-Agricultural and Forestry Equipment</t>
  </si>
  <si>
    <t xml:space="preserve">  Accumulated Depreciation-Communication Equipment</t>
  </si>
  <si>
    <t xml:space="preserve">  Accumulated Impairment Losses-Communication Equipment</t>
  </si>
  <si>
    <t xml:space="preserve">  Accumulated Depreciation-Construction and Heavy 
Equipment</t>
  </si>
  <si>
    <t xml:space="preserve">  Accumulated Impairment Losses-Construction and Heavy Equipment</t>
  </si>
  <si>
    <t xml:space="preserve">  Accumulated Depreciation-Disaster Response and Rescue Equipment</t>
  </si>
  <si>
    <t xml:space="preserve">  Accumulated Impairment Losses-Disaster Response and Rescue Equipment</t>
  </si>
  <si>
    <t xml:space="preserve">  Accumulated Depreciation-Military, Police and Security 
Equipment</t>
  </si>
  <si>
    <t xml:space="preserve">  Accumulated Impairment Losses-Military, Police and Security Equipment</t>
  </si>
  <si>
    <t xml:space="preserve">  Accumulated Depreciation-Medical Equipment</t>
  </si>
  <si>
    <t xml:space="preserve">  Accumulated Impairment Losses-Medical Equipment</t>
  </si>
  <si>
    <t xml:space="preserve">  Accumulated Depreciation-Printing Equipment</t>
  </si>
  <si>
    <t xml:space="preserve">  Accumulated Impairment Losses-Printing Equipment</t>
  </si>
  <si>
    <t xml:space="preserve">  Accumulated Depreciation-Sports Equipment</t>
  </si>
  <si>
    <t xml:space="preserve">  Accumulated Impairment Losses-Sports Equipment</t>
  </si>
  <si>
    <t xml:space="preserve">  Accumulated Depreciation-Technical and Scientific 
Equipment</t>
  </si>
  <si>
    <t xml:space="preserve">  Accumulated Impairment Losses-Technical and Scientific Equipment</t>
  </si>
  <si>
    <t xml:space="preserve">  Accumulated Depreciation-Other Machinery and Equipment</t>
  </si>
  <si>
    <t xml:space="preserve">  Accumulated Impairment Losses-Other Machinery and 
Equipment</t>
  </si>
  <si>
    <t xml:space="preserve">  Accumulated Depreciation-Motor Vehicles</t>
  </si>
  <si>
    <t xml:space="preserve">  Accumulated Impairment Losses-Motor Vehicles</t>
  </si>
  <si>
    <t xml:space="preserve">  Accumulated Depreciation-Trains</t>
  </si>
  <si>
    <t xml:space="preserve">  Accumulated Impairment Losses-Trains</t>
  </si>
  <si>
    <t xml:space="preserve">  Accumulated Impairment Losses-Watercrafts</t>
  </si>
  <si>
    <t xml:space="preserve">  Accumulated Depreciation-Watercrafts</t>
  </si>
  <si>
    <t xml:space="preserve">  Accumulated Depreciation-Other Transportation Equipment</t>
  </si>
  <si>
    <t xml:space="preserve">  Accumulated Impairment Losses-Other Transportation 
Equipment</t>
  </si>
  <si>
    <t xml:space="preserve">  Accumulated Depreciation-Furniture and Fixtures</t>
  </si>
  <si>
    <t xml:space="preserve">  Accumulated Impairment Losses-Furniture and Fixtures</t>
  </si>
  <si>
    <t xml:space="preserve">  Accumulated Depreciation-Books</t>
  </si>
  <si>
    <t xml:space="preserve">  Accumulated Impairment Losses-Books</t>
  </si>
  <si>
    <t xml:space="preserve">  Accumulated Depreciation-Leased Assets, Buildings and Other Structures</t>
  </si>
  <si>
    <t xml:space="preserve">  Accumulated Impairment Losses-Leased Assets, Buildings and Other Structures</t>
  </si>
  <si>
    <t xml:space="preserve">  Accumulated Depreciation - Work/Zoo Animals</t>
  </si>
  <si>
    <t xml:space="preserve">  Accumulated Impairment Losses - Work/Zoo Animals</t>
  </si>
  <si>
    <t xml:space="preserve">  Accumulated Depreciation - Other Property, Plant and 
Equipment</t>
  </si>
  <si>
    <t xml:space="preserve">  Accumulated Impairment Losses - Other Property, Plant and Equipment</t>
  </si>
  <si>
    <t xml:space="preserve">  Accumulated Amortization - Computer Software</t>
  </si>
  <si>
    <t xml:space="preserve">  Accumulated Impairment - Computer Software</t>
  </si>
  <si>
    <t xml:space="preserve">  Accumulated Amortization - Other Intangible Assets</t>
  </si>
  <si>
    <t xml:space="preserve">  Accumulated Impairment - Other Intangible Assets</t>
  </si>
  <si>
    <t xml:space="preserve">  1. Share from the National Internal
         Revenue Taxes (IRA)</t>
  </si>
  <si>
    <t xml:space="preserve">  Capital Outlay</t>
  </si>
  <si>
    <t xml:space="preserve">  1. Share from the National Internal 
         Revenue Taxes (IRA)</t>
  </si>
  <si>
    <t xml:space="preserve"> STATEMENT OF CHANGES IN NET ASSETS/EQUITY (By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</si>
</sst>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_(* #,##0.00_);_(* \(#,##0.00\);_(* &quot;-&quot;_);_(@_)"/>
    <numFmt numFmtId="166" formatCode="_(* #,##0_);_(* \(#,##0\);_(* &quot;-&quot;??_);_(@_)"/>
    <numFmt numFmtId="167" formatCode="[$-3409]dd\ mmmm\,\ yyyy"/>
  </numFmts>
  <fonts count="9" x14ac:knownFonts="1">
    <font>
      <sz val="10"/>
      <color rgb="FF000000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sz val="10"/>
      <name val="Calibri"/>
      <family val="2"/>
    </font>
    <font>
      <sz val="11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/>
    </xf>
    <xf numFmtId="43" fontId="1" fillId="0" borderId="2" xfId="0" applyNumberFormat="1" applyFont="1" applyBorder="1"/>
    <xf numFmtId="49" fontId="1" fillId="0" borderId="2" xfId="0" applyNumberFormat="1" applyFont="1" applyBorder="1" applyAlignment="1">
      <alignment horizontal="right"/>
    </xf>
    <xf numFmtId="43" fontId="2" fillId="0" borderId="0" xfId="0" applyNumberFormat="1" applyFont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right" vertical="center"/>
    </xf>
    <xf numFmtId="43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right"/>
    </xf>
    <xf numFmtId="0" fontId="1" fillId="0" borderId="2" xfId="0" applyFont="1" applyBorder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3" fontId="2" fillId="0" borderId="0" xfId="0" applyNumberFormat="1" applyFont="1"/>
    <xf numFmtId="0" fontId="2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6" fontId="2" fillId="0" borderId="0" xfId="0" applyNumberFormat="1" applyFont="1"/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43" fontId="1" fillId="0" borderId="3" xfId="0" applyNumberFormat="1" applyFont="1" applyBorder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43" fontId="2" fillId="0" borderId="0" xfId="0" applyNumberFormat="1" applyFont="1" applyAlignment="1">
      <alignment vertical="top"/>
    </xf>
    <xf numFmtId="0" fontId="2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1" fillId="0" borderId="0" xfId="0" applyNumberFormat="1" applyFont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center" vertical="top"/>
    </xf>
    <xf numFmtId="4" fontId="2" fillId="0" borderId="0" xfId="0" applyNumberFormat="1" applyFont="1" applyAlignment="1">
      <alignment vertical="top"/>
    </xf>
    <xf numFmtId="43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43" fontId="1" fillId="0" borderId="2" xfId="0" applyNumberFormat="1" applyFont="1" applyBorder="1" applyAlignment="1">
      <alignment horizontal="right" vertical="top"/>
    </xf>
    <xf numFmtId="4" fontId="1" fillId="0" borderId="2" xfId="0" applyNumberFormat="1" applyFont="1" applyBorder="1" applyAlignment="1">
      <alignment horizontal="right" vertical="top"/>
    </xf>
    <xf numFmtId="43" fontId="2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right" vertical="top"/>
    </xf>
    <xf numFmtId="49" fontId="2" fillId="0" borderId="2" xfId="0" applyNumberFormat="1" applyFont="1" applyBorder="1" applyAlignment="1">
      <alignment horizontal="right" vertical="center"/>
    </xf>
    <xf numFmtId="43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horizontal="right" vertical="top"/>
    </xf>
    <xf numFmtId="43" fontId="1" fillId="0" borderId="2" xfId="0" applyNumberFormat="1" applyFont="1" applyBorder="1" applyAlignment="1">
      <alignment horizontal="right"/>
    </xf>
    <xf numFmtId="0" fontId="6" fillId="0" borderId="0" xfId="0" applyFont="1" applyAlignment="1">
      <alignment horizontal="left" vertical="center"/>
    </xf>
    <xf numFmtId="37" fontId="2" fillId="0" borderId="0" xfId="0" applyNumberFormat="1" applyFont="1"/>
    <xf numFmtId="37" fontId="2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right"/>
    </xf>
    <xf numFmtId="37" fontId="1" fillId="0" borderId="1" xfId="0" applyNumberFormat="1" applyFont="1" applyBorder="1" applyAlignment="1">
      <alignment horizontal="center" vertical="center" wrapText="1"/>
    </xf>
    <xf numFmtId="37" fontId="7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right" vertical="top" wrapText="1"/>
    </xf>
    <xf numFmtId="49" fontId="1" fillId="0" borderId="2" xfId="0" applyNumberFormat="1" applyFont="1" applyBorder="1" applyAlignment="1">
      <alignment horizontal="right" wrapText="1"/>
    </xf>
    <xf numFmtId="43" fontId="1" fillId="0" borderId="2" xfId="0" applyNumberFormat="1" applyFont="1" applyBorder="1" applyAlignment="1">
      <alignment horizontal="right" vertical="top" wrapText="1"/>
    </xf>
    <xf numFmtId="39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right" vertical="center" wrapText="1"/>
    </xf>
    <xf numFmtId="43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 wrapText="1"/>
    </xf>
    <xf numFmtId="39" fontId="1" fillId="0" borderId="0" xfId="0" applyNumberFormat="1" applyFont="1" applyAlignment="1">
      <alignment horizontal="right" vertical="top"/>
    </xf>
    <xf numFmtId="39" fontId="2" fillId="0" borderId="0" xfId="0" applyNumberFormat="1" applyFont="1" applyAlignment="1">
      <alignment vertical="top"/>
    </xf>
    <xf numFmtId="49" fontId="1" fillId="0" borderId="3" xfId="0" applyNumberFormat="1" applyFont="1" applyBorder="1" applyAlignment="1">
      <alignment horizontal="right" wrapText="1"/>
    </xf>
    <xf numFmtId="43" fontId="1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 wrapText="1"/>
    </xf>
    <xf numFmtId="49" fontId="1" fillId="0" borderId="2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16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/>
    <xf numFmtId="43" fontId="4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/>
    </xf>
    <xf numFmtId="43" fontId="1" fillId="0" borderId="0" xfId="0" applyNumberFormat="1" applyFont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 wrapText="1"/>
    </xf>
    <xf numFmtId="167" fontId="1" fillId="0" borderId="1" xfId="0" quotePrefix="1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4" fontId="1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43" fontId="1" fillId="0" borderId="2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64" fontId="1" fillId="0" borderId="0" xfId="0" applyNumberFormat="1" applyFont="1" applyAlignment="1">
      <alignment horizontal="center" vertical="top"/>
    </xf>
    <xf numFmtId="43" fontId="1" fillId="0" borderId="0" xfId="0" applyNumberFormat="1" applyFont="1" applyAlignment="1">
      <alignment vertical="top"/>
    </xf>
    <xf numFmtId="43" fontId="2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quotePrefix="1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quotePrefix="1" applyFont="1" applyAlignment="1">
      <alignment horizontal="center" vertical="center"/>
    </xf>
    <xf numFmtId="0" fontId="8" fillId="0" borderId="0" xfId="0" applyFont="1"/>
    <xf numFmtId="0" fontId="3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top" wrapText="1"/>
    </xf>
    <xf numFmtId="0" fontId="5" fillId="0" borderId="2" xfId="0" applyFont="1" applyBorder="1"/>
    <xf numFmtId="0" fontId="1" fillId="0" borderId="3" xfId="0" applyFont="1" applyBorder="1" applyAlignment="1">
      <alignment horizontal="left" vertical="center"/>
    </xf>
    <xf numFmtId="0" fontId="5" fillId="0" borderId="3" xfId="0" applyFont="1" applyBorder="1"/>
    <xf numFmtId="0" fontId="1" fillId="0" borderId="2" xfId="0" applyFont="1" applyBorder="1" applyAlignment="1">
      <alignment horizontal="left" wrapText="1"/>
    </xf>
    <xf numFmtId="166" fontId="1" fillId="0" borderId="0" xfId="0" applyNumberFormat="1" applyFont="1" applyAlignment="1">
      <alignment horizontal="center" vertical="center"/>
    </xf>
    <xf numFmtId="0" fontId="5" fillId="0" borderId="1" xfId="0" applyFont="1" applyBorder="1"/>
    <xf numFmtId="166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4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711"/>
  <sheetViews>
    <sheetView showGridLines="0" tabSelected="1" zoomScaleNormal="100" zoomScaleSheetLayoutView="100" workbookViewId="0">
      <selection activeCell="A2" sqref="A2:L2"/>
    </sheetView>
  </sheetViews>
  <sheetFormatPr defaultColWidth="14.42578125" defaultRowHeight="15" customHeight="1" x14ac:dyDescent="0.2"/>
  <cols>
    <col min="1" max="1" width="2" customWidth="1"/>
    <col min="2" max="2" width="1.7109375" customWidth="1"/>
    <col min="3" max="3" width="58.28515625" customWidth="1"/>
    <col min="4" max="5" width="0.7109375" customWidth="1"/>
    <col min="6" max="6" width="21.7109375" customWidth="1"/>
    <col min="7" max="7" width="1.7109375" customWidth="1"/>
    <col min="8" max="8" width="21.7109375" customWidth="1"/>
    <col min="9" max="9" width="1.7109375" customWidth="1"/>
    <col min="10" max="10" width="21.7109375" customWidth="1"/>
    <col min="11" max="11" width="1.7109375" customWidth="1"/>
    <col min="12" max="12" width="21.7109375" customWidth="1"/>
  </cols>
  <sheetData>
    <row r="1" spans="1:12" ht="13.5" customHeight="1" x14ac:dyDescent="0.25">
      <c r="A1" s="10"/>
      <c r="B1" s="8"/>
      <c r="C1" s="8"/>
      <c r="D1" s="8"/>
      <c r="E1" s="5"/>
      <c r="F1" s="20"/>
      <c r="G1" s="20"/>
      <c r="H1" s="101"/>
      <c r="I1" s="101"/>
      <c r="J1" s="24"/>
      <c r="K1" s="1"/>
      <c r="L1" s="102"/>
    </row>
    <row r="2" spans="1:12" ht="13.5" customHeight="1" x14ac:dyDescent="0.2">
      <c r="A2" s="125" t="s">
        <v>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2" ht="13.5" customHeight="1" x14ac:dyDescent="0.2">
      <c r="A3" s="125" t="s">
        <v>71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</row>
    <row r="4" spans="1:12" ht="13.5" customHeight="1" x14ac:dyDescent="0.2">
      <c r="A4" s="127" t="s">
        <v>1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</row>
    <row r="5" spans="1:12" ht="13.5" customHeight="1" x14ac:dyDescent="0.2">
      <c r="A5" s="129" t="s">
        <v>2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3.5" customHeight="1" x14ac:dyDescent="0.2">
      <c r="A6" s="10"/>
      <c r="B6" s="5"/>
      <c r="C6" s="5"/>
      <c r="D6" s="5"/>
      <c r="E6" s="5"/>
      <c r="F6" s="20"/>
      <c r="G6" s="20"/>
      <c r="H6" s="20"/>
      <c r="I6" s="20"/>
      <c r="J6" s="103"/>
      <c r="K6" s="1"/>
      <c r="L6" s="42"/>
    </row>
    <row r="7" spans="1:12" ht="27.6" customHeight="1" x14ac:dyDescent="0.2">
      <c r="A7" s="43"/>
      <c r="B7" s="43"/>
      <c r="C7" s="43"/>
      <c r="D7" s="43"/>
      <c r="E7" s="43"/>
      <c r="F7" s="104" t="s">
        <v>72</v>
      </c>
      <c r="G7" s="104"/>
      <c r="H7" s="104" t="s">
        <v>73</v>
      </c>
      <c r="I7" s="104"/>
      <c r="J7" s="105" t="s">
        <v>74</v>
      </c>
      <c r="K7" s="43"/>
      <c r="L7" s="43" t="s">
        <v>75</v>
      </c>
    </row>
    <row r="8" spans="1:12" ht="13.5" customHeight="1" x14ac:dyDescent="0.2">
      <c r="A8" s="10" t="s">
        <v>3</v>
      </c>
      <c r="B8" s="10"/>
      <c r="C8" s="7"/>
      <c r="D8" s="7"/>
      <c r="E8" s="7"/>
      <c r="F8" s="44"/>
      <c r="G8" s="44"/>
      <c r="H8" s="44"/>
      <c r="I8" s="44"/>
      <c r="J8" s="44"/>
      <c r="K8" s="1"/>
      <c r="L8" s="42"/>
    </row>
    <row r="9" spans="1:12" ht="13.5" customHeight="1" x14ac:dyDescent="0.2">
      <c r="A9" s="10" t="s">
        <v>76</v>
      </c>
      <c r="B9" s="10"/>
      <c r="C9" s="7"/>
      <c r="D9" s="7"/>
      <c r="E9" s="7"/>
      <c r="F9" s="106"/>
      <c r="G9" s="106"/>
      <c r="H9" s="106"/>
      <c r="I9" s="106"/>
      <c r="J9" s="106"/>
      <c r="K9" s="107"/>
      <c r="L9" s="106"/>
    </row>
    <row r="10" spans="1:12" ht="13.5" customHeight="1" x14ac:dyDescent="0.2">
      <c r="A10" s="10"/>
      <c r="B10" s="10" t="s">
        <v>77</v>
      </c>
      <c r="C10" s="7"/>
      <c r="D10" s="7"/>
      <c r="E10" s="7"/>
      <c r="F10" s="106"/>
      <c r="G10" s="106"/>
      <c r="H10" s="106"/>
      <c r="I10" s="106"/>
      <c r="J10" s="106"/>
      <c r="K10" s="107"/>
      <c r="L10" s="106"/>
    </row>
    <row r="11" spans="1:12" ht="13.5" customHeight="1" x14ac:dyDescent="0.2">
      <c r="A11" s="12"/>
      <c r="B11" s="1"/>
      <c r="C11" s="45" t="s">
        <v>78</v>
      </c>
      <c r="D11" s="4"/>
      <c r="E11" s="4"/>
      <c r="F11" s="51">
        <v>166960886.55000001</v>
      </c>
      <c r="G11" s="51"/>
      <c r="H11" s="51">
        <v>80832544.989999995</v>
      </c>
      <c r="I11" s="51"/>
      <c r="J11" s="106">
        <v>0</v>
      </c>
      <c r="K11" s="107"/>
      <c r="L11" s="106">
        <v>247793431.54000002</v>
      </c>
    </row>
    <row r="12" spans="1:12" ht="13.5" customHeight="1" x14ac:dyDescent="0.2">
      <c r="A12" s="12"/>
      <c r="B12" s="1"/>
      <c r="C12" s="45" t="s">
        <v>79</v>
      </c>
      <c r="D12" s="4"/>
      <c r="E12" s="4"/>
      <c r="F12" s="51">
        <v>1642405.21</v>
      </c>
      <c r="G12" s="51"/>
      <c r="H12" s="106">
        <v>0</v>
      </c>
      <c r="I12" s="106"/>
      <c r="J12" s="106">
        <v>0</v>
      </c>
      <c r="K12" s="107"/>
      <c r="L12" s="106">
        <v>1642405.21</v>
      </c>
    </row>
    <row r="13" spans="1:12" ht="13.5" customHeight="1" x14ac:dyDescent="0.2">
      <c r="A13" s="12"/>
      <c r="B13" s="1"/>
      <c r="C13" s="45" t="s">
        <v>80</v>
      </c>
      <c r="D13" s="4"/>
      <c r="E13" s="4"/>
      <c r="F13" s="51">
        <v>2886484390.6300001</v>
      </c>
      <c r="G13" s="51"/>
      <c r="H13" s="51">
        <v>2748026421.9400001</v>
      </c>
      <c r="I13" s="51"/>
      <c r="J13" s="51">
        <v>610069029.54999995</v>
      </c>
      <c r="K13" s="107"/>
      <c r="L13" s="106">
        <v>6244579842.1199999</v>
      </c>
    </row>
    <row r="14" spans="1:12" ht="13.5" customHeight="1" x14ac:dyDescent="0.2">
      <c r="A14" s="12"/>
      <c r="B14" s="1"/>
      <c r="C14" s="45" t="s">
        <v>81</v>
      </c>
      <c r="D14" s="4"/>
      <c r="E14" s="4"/>
      <c r="F14" s="51">
        <v>421532980.06</v>
      </c>
      <c r="G14" s="51"/>
      <c r="H14" s="51">
        <v>14856391.85</v>
      </c>
      <c r="I14" s="51"/>
      <c r="J14" s="106">
        <v>0</v>
      </c>
      <c r="K14" s="107"/>
      <c r="L14" s="106">
        <v>436389371.91000003</v>
      </c>
    </row>
    <row r="15" spans="1:12" ht="13.5" customHeight="1" x14ac:dyDescent="0.2">
      <c r="A15" s="12"/>
      <c r="B15" s="1"/>
      <c r="C15" s="45" t="s">
        <v>82</v>
      </c>
      <c r="D15" s="4"/>
      <c r="E15" s="4"/>
      <c r="F15" s="51">
        <v>2994556638.4699974</v>
      </c>
      <c r="G15" s="51"/>
      <c r="H15" s="106">
        <v>0</v>
      </c>
      <c r="I15" s="106"/>
      <c r="J15" s="106">
        <v>0</v>
      </c>
      <c r="K15" s="107"/>
      <c r="L15" s="106">
        <v>2994556638.4699974</v>
      </c>
    </row>
    <row r="16" spans="1:12" ht="13.5" customHeight="1" x14ac:dyDescent="0.25">
      <c r="A16" s="13"/>
      <c r="B16" s="23" t="s">
        <v>83</v>
      </c>
      <c r="C16" s="23"/>
      <c r="D16" s="23"/>
      <c r="E16" s="17"/>
      <c r="F16" s="108">
        <v>6471177300.9199982</v>
      </c>
      <c r="G16" s="108"/>
      <c r="H16" s="108">
        <v>2843715358.7799997</v>
      </c>
      <c r="I16" s="108"/>
      <c r="J16" s="108">
        <v>610069029.54999995</v>
      </c>
      <c r="K16" s="109"/>
      <c r="L16" s="108">
        <v>9924961689.2499962</v>
      </c>
    </row>
    <row r="17" spans="1:12" ht="13.5" customHeight="1" x14ac:dyDescent="0.25">
      <c r="A17" s="12"/>
      <c r="B17" s="10" t="s">
        <v>4</v>
      </c>
      <c r="C17" s="11"/>
      <c r="D17" s="4"/>
      <c r="E17" s="4"/>
      <c r="F17" s="106"/>
      <c r="G17" s="106"/>
      <c r="H17" s="106"/>
      <c r="I17" s="106"/>
      <c r="J17" s="106"/>
      <c r="K17" s="107"/>
      <c r="L17" s="106"/>
    </row>
    <row r="18" spans="1:12" ht="13.5" customHeight="1" x14ac:dyDescent="0.2">
      <c r="A18" s="12"/>
      <c r="B18" s="4"/>
      <c r="C18" s="45" t="s">
        <v>82</v>
      </c>
      <c r="D18" s="4"/>
      <c r="E18" s="4"/>
      <c r="F18" s="51">
        <v>16383999795.960003</v>
      </c>
      <c r="G18" s="51"/>
      <c r="H18" s="106">
        <v>0</v>
      </c>
      <c r="I18" s="106"/>
      <c r="J18" s="106">
        <v>0</v>
      </c>
      <c r="K18" s="107"/>
      <c r="L18" s="106">
        <v>16383999795.960003</v>
      </c>
    </row>
    <row r="19" spans="1:12" ht="13.5" customHeight="1" x14ac:dyDescent="0.2">
      <c r="A19" s="18"/>
      <c r="B19" s="17" t="s">
        <v>84</v>
      </c>
      <c r="C19" s="17"/>
      <c r="D19" s="31"/>
      <c r="E19" s="17"/>
      <c r="F19" s="108">
        <v>16383999795.960003</v>
      </c>
      <c r="G19" s="108"/>
      <c r="H19" s="108">
        <v>0</v>
      </c>
      <c r="I19" s="108"/>
      <c r="J19" s="108">
        <v>0</v>
      </c>
      <c r="K19" s="109"/>
      <c r="L19" s="108">
        <v>16383999795.960003</v>
      </c>
    </row>
    <row r="20" spans="1:12" ht="13.5" customHeight="1" x14ac:dyDescent="0.25">
      <c r="A20" s="10"/>
      <c r="B20" s="10" t="s">
        <v>5</v>
      </c>
      <c r="C20" s="11"/>
      <c r="D20" s="7"/>
      <c r="E20" s="7"/>
      <c r="F20" s="106"/>
      <c r="G20" s="106"/>
      <c r="H20" s="106"/>
      <c r="I20" s="106"/>
      <c r="J20" s="106"/>
      <c r="K20" s="107"/>
      <c r="L20" s="106"/>
    </row>
    <row r="21" spans="1:12" ht="13.5" customHeight="1" x14ac:dyDescent="0.2">
      <c r="A21" s="12"/>
      <c r="B21" s="1"/>
      <c r="C21" s="45" t="s">
        <v>85</v>
      </c>
      <c r="D21" s="4"/>
      <c r="E21" s="1"/>
      <c r="F21" s="51">
        <v>5000</v>
      </c>
      <c r="G21" s="51"/>
      <c r="H21" s="106">
        <v>0</v>
      </c>
      <c r="I21" s="106"/>
      <c r="J21" s="106">
        <v>0</v>
      </c>
      <c r="K21" s="107"/>
      <c r="L21" s="106">
        <v>5000</v>
      </c>
    </row>
    <row r="22" spans="1:12" ht="13.5" customHeight="1" x14ac:dyDescent="0.2">
      <c r="A22" s="12"/>
      <c r="B22" s="1"/>
      <c r="C22" s="45" t="s">
        <v>86</v>
      </c>
      <c r="D22" s="4"/>
      <c r="E22" s="1"/>
      <c r="F22" s="51">
        <v>210318919.53</v>
      </c>
      <c r="G22" s="51"/>
      <c r="H22" s="106">
        <v>0</v>
      </c>
      <c r="I22" s="106"/>
      <c r="J22" s="106">
        <v>0</v>
      </c>
      <c r="K22" s="107"/>
      <c r="L22" s="106">
        <v>210318919.53</v>
      </c>
    </row>
    <row r="23" spans="1:12" ht="13.5" customHeight="1" x14ac:dyDescent="0.2">
      <c r="A23" s="12"/>
      <c r="B23" s="1"/>
      <c r="C23" s="45" t="s">
        <v>87</v>
      </c>
      <c r="D23" s="4"/>
      <c r="E23" s="1"/>
      <c r="F23" s="51">
        <v>0</v>
      </c>
      <c r="G23" s="51"/>
      <c r="H23" s="106">
        <v>102996506.48999999</v>
      </c>
      <c r="I23" s="106"/>
      <c r="J23" s="106">
        <v>0</v>
      </c>
      <c r="K23" s="107"/>
      <c r="L23" s="106">
        <v>102996506.48999999</v>
      </c>
    </row>
    <row r="24" spans="1:12" ht="13.5" customHeight="1" x14ac:dyDescent="0.2">
      <c r="A24" s="12"/>
      <c r="B24" s="1"/>
      <c r="C24" s="45" t="s">
        <v>88</v>
      </c>
      <c r="D24" s="4"/>
      <c r="E24" s="1"/>
      <c r="F24" s="51">
        <v>55075277.060000002</v>
      </c>
      <c r="G24" s="51"/>
      <c r="H24" s="106">
        <v>0</v>
      </c>
      <c r="I24" s="106"/>
      <c r="J24" s="106">
        <v>0</v>
      </c>
      <c r="K24" s="107"/>
      <c r="L24" s="106">
        <v>55075277.060000002</v>
      </c>
    </row>
    <row r="25" spans="1:12" ht="13.5" customHeight="1" x14ac:dyDescent="0.2">
      <c r="A25" s="12"/>
      <c r="B25" s="1"/>
      <c r="C25" s="45" t="s">
        <v>89</v>
      </c>
      <c r="D25" s="4"/>
      <c r="E25" s="1"/>
      <c r="F25" s="51">
        <v>41073860.380000003</v>
      </c>
      <c r="G25" s="51"/>
      <c r="H25" s="106">
        <v>0</v>
      </c>
      <c r="I25" s="106"/>
      <c r="J25" s="106">
        <v>0</v>
      </c>
      <c r="K25" s="107"/>
      <c r="L25" s="106">
        <v>41073860.380000003</v>
      </c>
    </row>
    <row r="26" spans="1:12" ht="13.5" customHeight="1" x14ac:dyDescent="0.2">
      <c r="A26" s="12"/>
      <c r="B26" s="1"/>
      <c r="C26" s="45" t="s">
        <v>90</v>
      </c>
      <c r="D26" s="4"/>
      <c r="E26" s="1"/>
      <c r="F26" s="51">
        <v>20954015.219999999</v>
      </c>
      <c r="G26" s="51"/>
      <c r="H26" s="106">
        <v>29210.97</v>
      </c>
      <c r="I26" s="106"/>
      <c r="J26" s="106">
        <v>0</v>
      </c>
      <c r="K26" s="107"/>
      <c r="L26" s="106">
        <v>20983226.189999998</v>
      </c>
    </row>
    <row r="27" spans="1:12" ht="13.5" customHeight="1" x14ac:dyDescent="0.2">
      <c r="A27" s="12"/>
      <c r="B27" s="1"/>
      <c r="C27" s="45" t="s">
        <v>91</v>
      </c>
      <c r="D27" s="4"/>
      <c r="E27" s="1"/>
      <c r="F27" s="51">
        <v>53437.3</v>
      </c>
      <c r="G27" s="51"/>
      <c r="H27" s="106">
        <v>0</v>
      </c>
      <c r="I27" s="106"/>
      <c r="J27" s="106">
        <v>0</v>
      </c>
      <c r="K27" s="107"/>
      <c r="L27" s="106">
        <v>53437.3</v>
      </c>
    </row>
    <row r="28" spans="1:12" ht="13.5" customHeight="1" x14ac:dyDescent="0.2">
      <c r="A28" s="12"/>
      <c r="B28" s="1"/>
      <c r="C28" s="45" t="s">
        <v>92</v>
      </c>
      <c r="D28" s="4"/>
      <c r="E28" s="1"/>
      <c r="F28" s="51">
        <v>6521554.7699999996</v>
      </c>
      <c r="G28" s="51"/>
      <c r="H28" s="51">
        <v>440518590.24000001</v>
      </c>
      <c r="I28" s="51"/>
      <c r="J28" s="51">
        <v>211017540.71000001</v>
      </c>
      <c r="K28" s="107"/>
      <c r="L28" s="106">
        <v>658057685.72000003</v>
      </c>
    </row>
    <row r="29" spans="1:12" ht="13.5" customHeight="1" x14ac:dyDescent="0.2">
      <c r="A29" s="12"/>
      <c r="B29" s="1"/>
      <c r="C29" s="45" t="s">
        <v>93</v>
      </c>
      <c r="D29" s="4"/>
      <c r="E29" s="1"/>
      <c r="F29" s="51">
        <v>2656.73</v>
      </c>
      <c r="G29" s="51"/>
      <c r="H29" s="106">
        <v>0</v>
      </c>
      <c r="I29" s="51"/>
      <c r="J29" s="51">
        <v>0</v>
      </c>
      <c r="K29" s="107"/>
      <c r="L29" s="106">
        <v>2656.73</v>
      </c>
    </row>
    <row r="30" spans="1:12" ht="13.5" customHeight="1" x14ac:dyDescent="0.2">
      <c r="A30" s="12"/>
      <c r="B30" s="1"/>
      <c r="C30" s="45" t="s">
        <v>94</v>
      </c>
      <c r="D30" s="4"/>
      <c r="E30" s="1"/>
      <c r="F30" s="51">
        <v>48672434.399999999</v>
      </c>
      <c r="G30" s="51"/>
      <c r="H30" s="51">
        <v>12953240.300000001</v>
      </c>
      <c r="I30" s="51"/>
      <c r="J30" s="51">
        <v>91006.83</v>
      </c>
      <c r="K30" s="107"/>
      <c r="L30" s="106">
        <v>61716681.530000001</v>
      </c>
    </row>
    <row r="31" spans="1:12" ht="13.5" customHeight="1" x14ac:dyDescent="0.2">
      <c r="A31" s="12"/>
      <c r="B31" s="1"/>
      <c r="C31" s="45" t="s">
        <v>95</v>
      </c>
      <c r="D31" s="4"/>
      <c r="E31" s="1"/>
      <c r="F31" s="51">
        <v>580407.5</v>
      </c>
      <c r="G31" s="51"/>
      <c r="H31" s="106">
        <v>0</v>
      </c>
      <c r="I31" s="51"/>
      <c r="J31" s="106">
        <v>0</v>
      </c>
      <c r="K31" s="107"/>
      <c r="L31" s="106">
        <v>580407.5</v>
      </c>
    </row>
    <row r="32" spans="1:12" ht="13.5" customHeight="1" x14ac:dyDescent="0.2">
      <c r="A32" s="12"/>
      <c r="B32" s="1"/>
      <c r="C32" s="45" t="s">
        <v>96</v>
      </c>
      <c r="D32" s="4"/>
      <c r="E32" s="1"/>
      <c r="F32" s="51">
        <v>4684070.5199999996</v>
      </c>
      <c r="G32" s="51"/>
      <c r="H32" s="51">
        <v>376179.66</v>
      </c>
      <c r="I32" s="51"/>
      <c r="J32" s="106">
        <v>0</v>
      </c>
      <c r="K32" s="107"/>
      <c r="L32" s="106">
        <v>5060250.18</v>
      </c>
    </row>
    <row r="33" spans="1:12" ht="13.5" customHeight="1" x14ac:dyDescent="0.2">
      <c r="A33" s="12"/>
      <c r="B33" s="1"/>
      <c r="C33" s="45" t="s">
        <v>97</v>
      </c>
      <c r="D33" s="4"/>
      <c r="E33" s="1"/>
      <c r="F33" s="51">
        <v>9483102.8100000005</v>
      </c>
      <c r="G33" s="51"/>
      <c r="H33" s="51">
        <v>528841.5</v>
      </c>
      <c r="I33" s="51"/>
      <c r="J33" s="106">
        <v>0</v>
      </c>
      <c r="K33" s="107"/>
      <c r="L33" s="106">
        <v>10011944.310000001</v>
      </c>
    </row>
    <row r="34" spans="1:12" ht="13.5" customHeight="1" x14ac:dyDescent="0.2">
      <c r="A34" s="18"/>
      <c r="B34" s="17" t="s">
        <v>98</v>
      </c>
      <c r="C34" s="17"/>
      <c r="D34" s="31"/>
      <c r="E34" s="17"/>
      <c r="F34" s="108">
        <v>397424736.22000003</v>
      </c>
      <c r="G34" s="108"/>
      <c r="H34" s="108">
        <v>557402569.15999997</v>
      </c>
      <c r="I34" s="108"/>
      <c r="J34" s="108">
        <v>211108547.54000002</v>
      </c>
      <c r="K34" s="109"/>
      <c r="L34" s="108">
        <v>1165935852.9200001</v>
      </c>
    </row>
    <row r="35" spans="1:12" ht="13.5" customHeight="1" x14ac:dyDescent="0.25">
      <c r="A35" s="10"/>
      <c r="B35" s="10" t="s">
        <v>6</v>
      </c>
      <c r="C35" s="11"/>
      <c r="D35" s="7"/>
      <c r="E35" s="7"/>
      <c r="F35" s="106"/>
      <c r="G35" s="106"/>
      <c r="H35" s="106"/>
      <c r="I35" s="106"/>
      <c r="J35" s="106"/>
      <c r="K35" s="107"/>
      <c r="L35" s="106"/>
    </row>
    <row r="36" spans="1:12" ht="13.5" customHeight="1" x14ac:dyDescent="0.2">
      <c r="A36" s="12"/>
      <c r="B36" s="1"/>
      <c r="C36" s="45" t="s">
        <v>99</v>
      </c>
      <c r="D36" s="4"/>
      <c r="E36" s="1"/>
      <c r="F36" s="51">
        <v>18557277.5</v>
      </c>
      <c r="G36" s="51"/>
      <c r="H36" s="106">
        <v>0</v>
      </c>
      <c r="I36" s="106"/>
      <c r="J36" s="106">
        <v>0</v>
      </c>
      <c r="K36" s="107"/>
      <c r="L36" s="106">
        <v>18557277.5</v>
      </c>
    </row>
    <row r="37" spans="1:12" ht="13.5" customHeight="1" x14ac:dyDescent="0.2">
      <c r="A37" s="12"/>
      <c r="B37" s="1"/>
      <c r="C37" s="45" t="s">
        <v>100</v>
      </c>
      <c r="D37" s="4"/>
      <c r="E37" s="1"/>
      <c r="F37" s="51">
        <v>30970327.399999999</v>
      </c>
      <c r="G37" s="51"/>
      <c r="H37" s="51">
        <v>0</v>
      </c>
      <c r="I37" s="51"/>
      <c r="J37" s="51">
        <v>0</v>
      </c>
      <c r="K37" s="107"/>
      <c r="L37" s="106">
        <v>30970327.399999999</v>
      </c>
    </row>
    <row r="38" spans="1:12" ht="13.5" customHeight="1" x14ac:dyDescent="0.2">
      <c r="A38" s="12"/>
      <c r="B38" s="1"/>
      <c r="C38" s="45" t="s">
        <v>101</v>
      </c>
      <c r="D38" s="4"/>
      <c r="E38" s="1"/>
      <c r="F38" s="51">
        <v>3659092.84</v>
      </c>
      <c r="G38" s="51"/>
      <c r="H38" s="51">
        <v>0</v>
      </c>
      <c r="I38" s="51"/>
      <c r="J38" s="51">
        <v>0</v>
      </c>
      <c r="K38" s="107"/>
      <c r="L38" s="106">
        <v>3659092.84</v>
      </c>
    </row>
    <row r="39" spans="1:12" ht="13.5" customHeight="1" x14ac:dyDescent="0.2">
      <c r="A39" s="12"/>
      <c r="B39" s="1"/>
      <c r="C39" s="45" t="s">
        <v>102</v>
      </c>
      <c r="D39" s="4"/>
      <c r="E39" s="1"/>
      <c r="F39" s="51">
        <v>157730054.75999999</v>
      </c>
      <c r="G39" s="51"/>
      <c r="H39" s="51">
        <v>0</v>
      </c>
      <c r="I39" s="51"/>
      <c r="J39" s="51">
        <v>0</v>
      </c>
      <c r="K39" s="107"/>
      <c r="L39" s="106">
        <v>157730054.75999999</v>
      </c>
    </row>
    <row r="40" spans="1:12" ht="13.5" customHeight="1" x14ac:dyDescent="0.2">
      <c r="A40" s="12"/>
      <c r="B40" s="1"/>
      <c r="C40" s="45" t="s">
        <v>103</v>
      </c>
      <c r="D40" s="4"/>
      <c r="E40" s="1"/>
      <c r="F40" s="51">
        <v>9555828.9199999999</v>
      </c>
      <c r="G40" s="51"/>
      <c r="H40" s="51">
        <v>0</v>
      </c>
      <c r="I40" s="51"/>
      <c r="J40" s="51">
        <v>0</v>
      </c>
      <c r="K40" s="107"/>
      <c r="L40" s="106">
        <v>9555828.9199999999</v>
      </c>
    </row>
    <row r="41" spans="1:12" ht="13.5" customHeight="1" x14ac:dyDescent="0.2">
      <c r="A41" s="12"/>
      <c r="B41" s="1"/>
      <c r="C41" s="45" t="s">
        <v>104</v>
      </c>
      <c r="D41" s="4"/>
      <c r="E41" s="1"/>
      <c r="F41" s="51">
        <v>5888393.75</v>
      </c>
      <c r="G41" s="51"/>
      <c r="H41" s="51">
        <v>0</v>
      </c>
      <c r="I41" s="51"/>
      <c r="J41" s="51">
        <v>0</v>
      </c>
      <c r="K41" s="107"/>
      <c r="L41" s="106">
        <v>5888393.75</v>
      </c>
    </row>
    <row r="42" spans="1:12" ht="13.5" customHeight="1" x14ac:dyDescent="0.2">
      <c r="A42" s="12"/>
      <c r="B42" s="1"/>
      <c r="C42" s="45" t="s">
        <v>105</v>
      </c>
      <c r="D42" s="4"/>
      <c r="E42" s="1"/>
      <c r="F42" s="51">
        <v>267438914.27000001</v>
      </c>
      <c r="G42" s="51"/>
      <c r="H42" s="51">
        <v>5010716.41</v>
      </c>
      <c r="I42" s="51"/>
      <c r="J42" s="51">
        <v>224700</v>
      </c>
      <c r="K42" s="107"/>
      <c r="L42" s="106">
        <v>272674330.68000001</v>
      </c>
    </row>
    <row r="43" spans="1:12" ht="13.5" customHeight="1" x14ac:dyDescent="0.2">
      <c r="A43" s="12"/>
      <c r="B43" s="1"/>
      <c r="C43" s="45" t="s">
        <v>106</v>
      </c>
      <c r="D43" s="4"/>
      <c r="E43" s="1"/>
      <c r="F43" s="51">
        <v>62156716.509999998</v>
      </c>
      <c r="G43" s="51"/>
      <c r="H43" s="51">
        <v>767812.5</v>
      </c>
      <c r="I43" s="51"/>
      <c r="J43" s="51">
        <v>0</v>
      </c>
      <c r="K43" s="107"/>
      <c r="L43" s="106">
        <v>62924529.009999998</v>
      </c>
    </row>
    <row r="44" spans="1:12" ht="13.5" customHeight="1" x14ac:dyDescent="0.2">
      <c r="A44" s="12"/>
      <c r="B44" s="1"/>
      <c r="C44" s="45" t="s">
        <v>107</v>
      </c>
      <c r="D44" s="4"/>
      <c r="E44" s="1"/>
      <c r="F44" s="51">
        <v>5022035.88</v>
      </c>
      <c r="G44" s="51"/>
      <c r="H44" s="51">
        <v>0</v>
      </c>
      <c r="I44" s="51"/>
      <c r="J44" s="51">
        <v>0</v>
      </c>
      <c r="K44" s="107"/>
      <c r="L44" s="106">
        <v>5022035.88</v>
      </c>
    </row>
    <row r="45" spans="1:12" ht="13.5" customHeight="1" x14ac:dyDescent="0.2">
      <c r="A45" s="12"/>
      <c r="B45" s="1"/>
      <c r="C45" s="45" t="s">
        <v>108</v>
      </c>
      <c r="D45" s="4"/>
      <c r="E45" s="1"/>
      <c r="F45" s="51">
        <v>818815</v>
      </c>
      <c r="G45" s="51"/>
      <c r="H45" s="51">
        <v>0</v>
      </c>
      <c r="I45" s="51"/>
      <c r="J45" s="51">
        <v>0</v>
      </c>
      <c r="K45" s="107"/>
      <c r="L45" s="106">
        <v>818815</v>
      </c>
    </row>
    <row r="46" spans="1:12" ht="13.5" customHeight="1" x14ac:dyDescent="0.2">
      <c r="A46" s="12"/>
      <c r="B46" s="1"/>
      <c r="C46" s="45" t="s">
        <v>109</v>
      </c>
      <c r="D46" s="4"/>
      <c r="E46" s="1"/>
      <c r="F46" s="51">
        <v>2822705</v>
      </c>
      <c r="G46" s="51"/>
      <c r="H46" s="51">
        <v>0</v>
      </c>
      <c r="I46" s="51"/>
      <c r="J46" s="51">
        <v>0</v>
      </c>
      <c r="K46" s="107"/>
      <c r="L46" s="106">
        <v>2822705</v>
      </c>
    </row>
    <row r="47" spans="1:12" ht="13.5" customHeight="1" x14ac:dyDescent="0.2">
      <c r="A47" s="12"/>
      <c r="B47" s="1"/>
      <c r="C47" s="45" t="s">
        <v>110</v>
      </c>
      <c r="D47" s="4"/>
      <c r="E47" s="1"/>
      <c r="F47" s="51">
        <v>8123274.1799999997</v>
      </c>
      <c r="G47" s="51"/>
      <c r="H47" s="51">
        <v>0</v>
      </c>
      <c r="I47" s="51"/>
      <c r="J47" s="51">
        <v>0</v>
      </c>
      <c r="K47" s="107"/>
      <c r="L47" s="106">
        <v>8123274.1799999997</v>
      </c>
    </row>
    <row r="48" spans="1:12" ht="13.5" customHeight="1" x14ac:dyDescent="0.2">
      <c r="A48" s="12"/>
      <c r="B48" s="1"/>
      <c r="C48" s="45" t="s">
        <v>111</v>
      </c>
      <c r="D48" s="4"/>
      <c r="E48" s="1"/>
      <c r="F48" s="51">
        <v>25084941.559999999</v>
      </c>
      <c r="G48" s="51"/>
      <c r="H48" s="51">
        <v>0</v>
      </c>
      <c r="I48" s="51"/>
      <c r="J48" s="51">
        <v>0</v>
      </c>
      <c r="K48" s="107"/>
      <c r="L48" s="106">
        <v>25084941.559999999</v>
      </c>
    </row>
    <row r="49" spans="1:12" ht="13.5" customHeight="1" x14ac:dyDescent="0.2">
      <c r="A49" s="12"/>
      <c r="B49" s="1"/>
      <c r="C49" s="45" t="s">
        <v>112</v>
      </c>
      <c r="D49" s="4"/>
      <c r="E49" s="1"/>
      <c r="F49" s="51">
        <v>335902837.82999998</v>
      </c>
      <c r="G49" s="51"/>
      <c r="H49" s="51">
        <v>0</v>
      </c>
      <c r="I49" s="51"/>
      <c r="J49" s="51">
        <v>2871310</v>
      </c>
      <c r="K49" s="107"/>
      <c r="L49" s="106">
        <v>338774147.82999998</v>
      </c>
    </row>
    <row r="50" spans="1:12" ht="13.5" customHeight="1" x14ac:dyDescent="0.2">
      <c r="A50" s="12"/>
      <c r="B50" s="1"/>
      <c r="C50" s="45" t="s">
        <v>113</v>
      </c>
      <c r="D50" s="4"/>
      <c r="E50" s="1"/>
      <c r="F50" s="51">
        <v>9210873.0999999996</v>
      </c>
      <c r="G50" s="51"/>
      <c r="H50" s="51">
        <v>0</v>
      </c>
      <c r="I50" s="51"/>
      <c r="J50" s="51">
        <v>0</v>
      </c>
      <c r="K50" s="107"/>
      <c r="L50" s="106">
        <v>9210873.0999999996</v>
      </c>
    </row>
    <row r="51" spans="1:12" ht="13.5" customHeight="1" x14ac:dyDescent="0.2">
      <c r="A51" s="12"/>
      <c r="B51" s="1"/>
      <c r="C51" s="45" t="s">
        <v>114</v>
      </c>
      <c r="D51" s="4"/>
      <c r="E51" s="1"/>
      <c r="F51" s="51">
        <v>112712</v>
      </c>
      <c r="G51" s="51"/>
      <c r="H51" s="51">
        <v>0</v>
      </c>
      <c r="I51" s="51"/>
      <c r="J51" s="51">
        <v>0</v>
      </c>
      <c r="K51" s="107"/>
      <c r="L51" s="106">
        <v>112712</v>
      </c>
    </row>
    <row r="52" spans="1:12" ht="13.5" customHeight="1" x14ac:dyDescent="0.2">
      <c r="A52" s="12"/>
      <c r="B52" s="1"/>
      <c r="C52" s="45" t="s">
        <v>115</v>
      </c>
      <c r="D52" s="4"/>
      <c r="E52" s="1"/>
      <c r="F52" s="51">
        <v>2333883.2999999998</v>
      </c>
      <c r="G52" s="51"/>
      <c r="H52" s="51">
        <v>0</v>
      </c>
      <c r="I52" s="51"/>
      <c r="J52" s="51">
        <v>0</v>
      </c>
      <c r="K52" s="107"/>
      <c r="L52" s="106">
        <v>2333883.2999999998</v>
      </c>
    </row>
    <row r="53" spans="1:12" ht="13.5" hidden="1" customHeight="1" x14ac:dyDescent="0.2">
      <c r="A53" s="12"/>
      <c r="B53" s="1"/>
      <c r="C53" s="45" t="s">
        <v>116</v>
      </c>
      <c r="D53" s="4"/>
      <c r="E53" s="1"/>
      <c r="F53" s="51">
        <v>0</v>
      </c>
      <c r="G53" s="51"/>
      <c r="H53" s="51">
        <v>0</v>
      </c>
      <c r="I53" s="51"/>
      <c r="J53" s="51">
        <v>0</v>
      </c>
      <c r="K53" s="107"/>
      <c r="L53" s="106">
        <v>0</v>
      </c>
    </row>
    <row r="54" spans="1:12" ht="13.5" customHeight="1" x14ac:dyDescent="0.2">
      <c r="A54" s="12"/>
      <c r="B54" s="1"/>
      <c r="C54" s="45" t="s">
        <v>117</v>
      </c>
      <c r="D54" s="4"/>
      <c r="E54" s="1"/>
      <c r="F54" s="51">
        <v>44029209.359999999</v>
      </c>
      <c r="G54" s="51"/>
      <c r="H54" s="51">
        <v>0</v>
      </c>
      <c r="I54" s="51"/>
      <c r="J54" s="51">
        <v>0</v>
      </c>
      <c r="K54" s="107"/>
      <c r="L54" s="106">
        <v>44029209.359999999</v>
      </c>
    </row>
    <row r="55" spans="1:12" ht="13.5" customHeight="1" x14ac:dyDescent="0.2">
      <c r="A55" s="12"/>
      <c r="B55" s="1"/>
      <c r="C55" s="45" t="s">
        <v>118</v>
      </c>
      <c r="D55" s="4"/>
      <c r="E55" s="1"/>
      <c r="F55" s="51">
        <v>141279477.28</v>
      </c>
      <c r="G55" s="51"/>
      <c r="H55" s="51">
        <v>0</v>
      </c>
      <c r="I55" s="51"/>
      <c r="J55" s="51">
        <v>604050</v>
      </c>
      <c r="K55" s="107"/>
      <c r="L55" s="106">
        <v>141883527.28</v>
      </c>
    </row>
    <row r="56" spans="1:12" ht="13.5" customHeight="1" x14ac:dyDescent="0.2">
      <c r="A56" s="18"/>
      <c r="B56" s="17" t="s">
        <v>119</v>
      </c>
      <c r="C56" s="17"/>
      <c r="D56" s="31"/>
      <c r="E56" s="46"/>
      <c r="F56" s="108">
        <v>1130697370.4399998</v>
      </c>
      <c r="G56" s="108"/>
      <c r="H56" s="108">
        <v>5778528.9100000001</v>
      </c>
      <c r="I56" s="108"/>
      <c r="J56" s="108">
        <v>3700060</v>
      </c>
      <c r="K56" s="109"/>
      <c r="L56" s="108">
        <v>1140175959.3499999</v>
      </c>
    </row>
    <row r="57" spans="1:12" ht="13.5" customHeight="1" x14ac:dyDescent="0.2">
      <c r="A57" s="10"/>
      <c r="B57" s="10" t="s">
        <v>7</v>
      </c>
      <c r="C57" s="7"/>
      <c r="D57" s="7"/>
      <c r="E57" s="7"/>
      <c r="F57" s="106"/>
      <c r="G57" s="106"/>
      <c r="H57" s="106"/>
      <c r="I57" s="106"/>
      <c r="J57" s="106"/>
      <c r="K57" s="107"/>
      <c r="L57" s="106"/>
    </row>
    <row r="58" spans="1:12" ht="13.5" customHeight="1" x14ac:dyDescent="0.2">
      <c r="A58" s="12"/>
      <c r="B58" s="1"/>
      <c r="C58" s="45" t="s">
        <v>120</v>
      </c>
      <c r="D58" s="4"/>
      <c r="E58" s="4"/>
      <c r="F58" s="51">
        <v>194876616.38</v>
      </c>
      <c r="G58" s="51"/>
      <c r="H58" s="51">
        <v>1472831.81</v>
      </c>
      <c r="I58" s="51"/>
      <c r="J58" s="106">
        <v>11091653.32</v>
      </c>
      <c r="K58" s="107"/>
      <c r="L58" s="106">
        <v>207441101.50999999</v>
      </c>
    </row>
    <row r="59" spans="1:12" ht="13.5" customHeight="1" x14ac:dyDescent="0.2">
      <c r="A59" s="12"/>
      <c r="B59" s="1"/>
      <c r="C59" s="45" t="s">
        <v>121</v>
      </c>
      <c r="D59" s="4"/>
      <c r="E59" s="4"/>
      <c r="F59" s="51">
        <v>23413942.899999999</v>
      </c>
      <c r="G59" s="51"/>
      <c r="H59" s="51">
        <v>0</v>
      </c>
      <c r="I59" s="51"/>
      <c r="J59" s="106">
        <v>0</v>
      </c>
      <c r="K59" s="107"/>
      <c r="L59" s="106">
        <v>23413942.899999999</v>
      </c>
    </row>
    <row r="60" spans="1:12" ht="13.5" hidden="1" customHeight="1" x14ac:dyDescent="0.2">
      <c r="A60" s="12"/>
      <c r="B60" s="1"/>
      <c r="C60" s="45" t="s">
        <v>122</v>
      </c>
      <c r="D60" s="4"/>
      <c r="E60" s="4"/>
      <c r="F60" s="51"/>
      <c r="G60" s="51"/>
      <c r="H60" s="51">
        <v>0</v>
      </c>
      <c r="I60" s="51"/>
      <c r="J60" s="106">
        <v>0</v>
      </c>
      <c r="K60" s="107"/>
      <c r="L60" s="106">
        <v>0</v>
      </c>
    </row>
    <row r="61" spans="1:12" ht="13.5" customHeight="1" x14ac:dyDescent="0.2">
      <c r="A61" s="12"/>
      <c r="B61" s="1"/>
      <c r="C61" s="45" t="s">
        <v>123</v>
      </c>
      <c r="D61" s="4"/>
      <c r="E61" s="4"/>
      <c r="F61" s="51">
        <v>5304484.21</v>
      </c>
      <c r="I61" s="51"/>
      <c r="J61" s="106">
        <v>0</v>
      </c>
      <c r="K61" s="107"/>
      <c r="L61" s="106">
        <v>5304484.21</v>
      </c>
    </row>
    <row r="62" spans="1:12" ht="13.5" customHeight="1" x14ac:dyDescent="0.2">
      <c r="A62" s="12"/>
      <c r="B62" s="1"/>
      <c r="C62" s="45" t="s">
        <v>124</v>
      </c>
      <c r="D62" s="4"/>
      <c r="E62" s="4"/>
      <c r="F62" s="51">
        <v>59007975.899999999</v>
      </c>
      <c r="G62" s="51"/>
      <c r="H62" s="51">
        <v>3518777.46</v>
      </c>
      <c r="I62" s="51"/>
      <c r="J62" s="106">
        <v>0</v>
      </c>
      <c r="K62" s="107"/>
      <c r="L62" s="106">
        <v>62526753.359999999</v>
      </c>
    </row>
    <row r="63" spans="1:12" ht="13.5" hidden="1" customHeight="1" x14ac:dyDescent="0.2">
      <c r="A63" s="12"/>
      <c r="B63" s="10" t="s">
        <v>125</v>
      </c>
      <c r="C63" s="45"/>
      <c r="D63" s="4"/>
      <c r="E63" s="4"/>
      <c r="F63" s="51"/>
      <c r="G63" s="51"/>
      <c r="H63" s="51"/>
      <c r="I63" s="51"/>
      <c r="J63" s="106"/>
      <c r="K63" s="107"/>
      <c r="L63" s="106"/>
    </row>
    <row r="64" spans="1:12" ht="13.5" hidden="1" customHeight="1" x14ac:dyDescent="0.2">
      <c r="A64" s="12"/>
      <c r="B64" s="1"/>
      <c r="C64" s="45" t="s">
        <v>126</v>
      </c>
      <c r="D64" s="4"/>
      <c r="E64" s="4"/>
      <c r="F64" s="51">
        <v>0</v>
      </c>
      <c r="G64" s="51"/>
      <c r="H64" s="51">
        <v>0</v>
      </c>
      <c r="I64" s="51"/>
      <c r="J64" s="106">
        <v>0</v>
      </c>
      <c r="K64" s="107"/>
      <c r="L64" s="106">
        <v>0</v>
      </c>
    </row>
    <row r="65" spans="1:12" ht="13.5" customHeight="1" x14ac:dyDescent="0.2">
      <c r="A65" s="18"/>
      <c r="B65" s="17" t="s">
        <v>127</v>
      </c>
      <c r="C65" s="17"/>
      <c r="D65" s="31"/>
      <c r="E65" s="17"/>
      <c r="F65" s="108">
        <v>282603019.38999999</v>
      </c>
      <c r="G65" s="108"/>
      <c r="H65" s="108">
        <v>4991609.2699999996</v>
      </c>
      <c r="I65" s="108"/>
      <c r="J65" s="108">
        <v>11091653.32</v>
      </c>
      <c r="K65" s="109"/>
      <c r="L65" s="108">
        <v>298686281.98000002</v>
      </c>
    </row>
    <row r="66" spans="1:12" ht="13.5" customHeight="1" x14ac:dyDescent="0.2">
      <c r="A66" s="17" t="s">
        <v>8</v>
      </c>
      <c r="B66" s="31"/>
      <c r="C66" s="17"/>
      <c r="D66" s="17"/>
      <c r="E66" s="17"/>
      <c r="F66" s="108">
        <v>24665902222.93</v>
      </c>
      <c r="G66" s="108"/>
      <c r="H66" s="108">
        <v>3411888066.1199994</v>
      </c>
      <c r="I66" s="108"/>
      <c r="J66" s="108">
        <v>835969290.40999997</v>
      </c>
      <c r="K66" s="109"/>
      <c r="L66" s="108">
        <v>28913759579.459995</v>
      </c>
    </row>
    <row r="67" spans="1:12" ht="13.5" customHeight="1" x14ac:dyDescent="0.2">
      <c r="A67" s="10"/>
      <c r="B67" s="7"/>
      <c r="C67" s="7"/>
      <c r="D67" s="7"/>
      <c r="E67" s="7"/>
      <c r="F67" s="110"/>
      <c r="G67" s="110"/>
      <c r="H67" s="110"/>
      <c r="I67" s="110"/>
      <c r="J67" s="110"/>
      <c r="K67" s="107"/>
      <c r="L67" s="110"/>
    </row>
    <row r="68" spans="1:12" ht="13.5" customHeight="1" x14ac:dyDescent="0.2">
      <c r="A68" s="10" t="s">
        <v>128</v>
      </c>
      <c r="B68" s="10"/>
      <c r="C68" s="7"/>
      <c r="D68" s="7"/>
      <c r="E68" s="7"/>
      <c r="F68" s="106"/>
      <c r="G68" s="106"/>
      <c r="H68" s="106"/>
      <c r="I68" s="106"/>
      <c r="J68" s="106"/>
      <c r="K68" s="107"/>
      <c r="L68" s="106"/>
    </row>
    <row r="69" spans="1:12" ht="13.5" customHeight="1" x14ac:dyDescent="0.25">
      <c r="A69" s="12"/>
      <c r="B69" s="10" t="s">
        <v>4</v>
      </c>
      <c r="C69" s="11"/>
      <c r="D69" s="4"/>
      <c r="E69" s="4"/>
      <c r="F69" s="106"/>
      <c r="G69" s="106"/>
      <c r="H69" s="106"/>
      <c r="I69" s="106"/>
      <c r="J69" s="106"/>
      <c r="K69" s="107"/>
      <c r="L69" s="106"/>
    </row>
    <row r="70" spans="1:12" ht="13.5" customHeight="1" x14ac:dyDescent="0.2">
      <c r="A70" s="12"/>
      <c r="B70" s="4"/>
      <c r="C70" s="45" t="s">
        <v>129</v>
      </c>
      <c r="D70" s="4"/>
      <c r="E70" s="4"/>
      <c r="F70" s="51">
        <v>209800</v>
      </c>
      <c r="G70" s="51"/>
      <c r="H70" s="106">
        <v>121350</v>
      </c>
      <c r="I70" s="106"/>
      <c r="J70" s="106">
        <v>0</v>
      </c>
      <c r="K70" s="107"/>
      <c r="L70" s="106">
        <v>331150</v>
      </c>
    </row>
    <row r="71" spans="1:12" ht="13.5" customHeight="1" x14ac:dyDescent="0.2">
      <c r="A71" s="12"/>
      <c r="B71" s="4"/>
      <c r="C71" s="45" t="s">
        <v>130</v>
      </c>
      <c r="D71" s="4"/>
      <c r="E71" s="4"/>
      <c r="F71" s="51">
        <v>76668142.599999994</v>
      </c>
      <c r="G71" s="51"/>
      <c r="H71" s="106">
        <v>3192680</v>
      </c>
      <c r="I71" s="106"/>
      <c r="J71" s="106">
        <v>0</v>
      </c>
      <c r="K71" s="107"/>
      <c r="L71" s="106">
        <v>79860822.599999994</v>
      </c>
    </row>
    <row r="72" spans="1:12" ht="13.5" customHeight="1" x14ac:dyDescent="0.2">
      <c r="A72" s="18"/>
      <c r="B72" s="17" t="s">
        <v>84</v>
      </c>
      <c r="C72" s="17"/>
      <c r="D72" s="31"/>
      <c r="E72" s="17"/>
      <c r="F72" s="108">
        <v>76877942.599999994</v>
      </c>
      <c r="G72" s="108"/>
      <c r="H72" s="108">
        <v>3314030</v>
      </c>
      <c r="I72" s="108"/>
      <c r="J72" s="108">
        <v>0</v>
      </c>
      <c r="K72" s="109"/>
      <c r="L72" s="108">
        <v>80191972.599999994</v>
      </c>
    </row>
    <row r="73" spans="1:12" ht="13.5" customHeight="1" x14ac:dyDescent="0.25">
      <c r="A73" s="10"/>
      <c r="B73" s="10" t="s">
        <v>5</v>
      </c>
      <c r="C73" s="11"/>
      <c r="D73" s="7"/>
      <c r="E73" s="7"/>
      <c r="F73" s="106"/>
      <c r="G73" s="106"/>
      <c r="H73" s="106"/>
      <c r="I73" s="106"/>
      <c r="J73" s="106"/>
      <c r="K73" s="107"/>
      <c r="L73" s="106"/>
    </row>
    <row r="74" spans="1:12" ht="13.5" customHeight="1" x14ac:dyDescent="0.2">
      <c r="A74" s="12"/>
      <c r="B74" s="4"/>
      <c r="C74" s="45" t="s">
        <v>131</v>
      </c>
      <c r="D74" s="4"/>
      <c r="E74" s="4"/>
      <c r="F74" s="51">
        <v>184690451.62</v>
      </c>
      <c r="G74" s="51"/>
      <c r="H74" s="106">
        <v>0</v>
      </c>
      <c r="I74" s="106"/>
      <c r="J74" s="51">
        <v>166858.85999999999</v>
      </c>
      <c r="K74" s="107"/>
      <c r="L74" s="106">
        <v>184857310.48000002</v>
      </c>
    </row>
    <row r="75" spans="1:12" ht="13.5" customHeight="1" x14ac:dyDescent="0.2">
      <c r="A75" s="12"/>
      <c r="B75" s="4"/>
      <c r="C75" s="45" t="s">
        <v>132</v>
      </c>
      <c r="D75" s="4"/>
      <c r="E75" s="4"/>
      <c r="F75" s="51">
        <v>34530018.399999999</v>
      </c>
      <c r="G75" s="51"/>
      <c r="H75" s="51">
        <v>2600793.27</v>
      </c>
      <c r="I75" s="51"/>
      <c r="J75" s="106">
        <v>0</v>
      </c>
      <c r="K75" s="107"/>
      <c r="L75" s="106">
        <v>37130811.670000002</v>
      </c>
    </row>
    <row r="76" spans="1:12" ht="13.5" customHeight="1" x14ac:dyDescent="0.2">
      <c r="A76" s="18"/>
      <c r="B76" s="17" t="s">
        <v>98</v>
      </c>
      <c r="C76" s="17"/>
      <c r="D76" s="31"/>
      <c r="E76" s="17"/>
      <c r="F76" s="108">
        <v>219220470.02000001</v>
      </c>
      <c r="G76" s="108"/>
      <c r="H76" s="108">
        <v>2600793.27</v>
      </c>
      <c r="I76" s="108"/>
      <c r="J76" s="108">
        <v>166858.85999999999</v>
      </c>
      <c r="K76" s="109"/>
      <c r="L76" s="108">
        <v>221988122.15000004</v>
      </c>
    </row>
    <row r="77" spans="1:12" ht="13.5" customHeight="1" x14ac:dyDescent="0.2">
      <c r="A77" s="10"/>
      <c r="B77" s="10" t="s">
        <v>133</v>
      </c>
      <c r="C77" s="7"/>
      <c r="D77" s="7"/>
      <c r="E77" s="7"/>
      <c r="F77" s="106"/>
      <c r="G77" s="106"/>
      <c r="H77" s="106"/>
      <c r="I77" s="106"/>
      <c r="J77" s="106"/>
      <c r="K77" s="107"/>
      <c r="L77" s="106"/>
    </row>
    <row r="78" spans="1:12" ht="13.5" customHeight="1" x14ac:dyDescent="0.2">
      <c r="A78" s="12"/>
      <c r="B78" s="4"/>
      <c r="C78" s="45" t="s">
        <v>134</v>
      </c>
      <c r="D78" s="4"/>
      <c r="E78" s="4"/>
      <c r="F78" s="51">
        <v>912548007.77999997</v>
      </c>
      <c r="G78" s="51"/>
      <c r="H78" s="106">
        <v>0</v>
      </c>
      <c r="I78" s="106"/>
      <c r="J78" s="106">
        <v>0</v>
      </c>
      <c r="K78" s="107"/>
      <c r="L78" s="106">
        <v>912548007.77999997</v>
      </c>
    </row>
    <row r="79" spans="1:12" ht="13.5" customHeight="1" x14ac:dyDescent="0.2">
      <c r="A79" s="12"/>
      <c r="B79" s="47"/>
      <c r="C79" s="48" t="s">
        <v>461</v>
      </c>
      <c r="D79" s="4"/>
      <c r="E79" s="1"/>
      <c r="F79" s="51">
        <v>-271799063.17000002</v>
      </c>
      <c r="G79" s="51"/>
      <c r="H79" s="106">
        <v>0</v>
      </c>
      <c r="I79" s="106"/>
      <c r="J79" s="106">
        <v>0</v>
      </c>
      <c r="K79" s="107"/>
      <c r="L79" s="111">
        <v>-271799063.17000002</v>
      </c>
    </row>
    <row r="80" spans="1:12" ht="13.5" customHeight="1" x14ac:dyDescent="0.2">
      <c r="A80" s="18"/>
      <c r="B80" s="17" t="s">
        <v>135</v>
      </c>
      <c r="C80" s="17"/>
      <c r="D80" s="31"/>
      <c r="E80" s="17"/>
      <c r="F80" s="112">
        <v>640748944.6099999</v>
      </c>
      <c r="G80" s="112"/>
      <c r="H80" s="108">
        <v>0</v>
      </c>
      <c r="I80" s="108"/>
      <c r="J80" s="108">
        <v>0</v>
      </c>
      <c r="K80" s="109"/>
      <c r="L80" s="108">
        <v>640748944.6099999</v>
      </c>
    </row>
    <row r="81" spans="1:12" ht="13.5" customHeight="1" x14ac:dyDescent="0.2">
      <c r="A81" s="7"/>
      <c r="B81" s="10" t="s">
        <v>136</v>
      </c>
      <c r="C81" s="10"/>
      <c r="D81" s="7"/>
      <c r="E81" s="7"/>
      <c r="F81" s="106"/>
      <c r="G81" s="106"/>
      <c r="H81" s="106"/>
      <c r="I81" s="106"/>
      <c r="J81" s="106"/>
      <c r="K81" s="107"/>
      <c r="L81" s="106"/>
    </row>
    <row r="82" spans="1:12" ht="13.5" customHeight="1" x14ac:dyDescent="0.2">
      <c r="A82" s="12"/>
      <c r="B82" s="4"/>
      <c r="C82" s="45" t="s">
        <v>137</v>
      </c>
      <c r="D82" s="4"/>
      <c r="E82" s="1"/>
      <c r="F82" s="51">
        <v>5763270099.1000004</v>
      </c>
      <c r="G82" s="51"/>
      <c r="H82" s="51">
        <v>49939200</v>
      </c>
      <c r="I82" s="51"/>
      <c r="J82" s="106">
        <v>0</v>
      </c>
      <c r="K82" s="107"/>
      <c r="L82" s="51">
        <v>5813209299.1000004</v>
      </c>
    </row>
    <row r="83" spans="1:12" ht="13.5" customHeight="1" x14ac:dyDescent="0.2">
      <c r="A83" s="12"/>
      <c r="B83" s="47"/>
      <c r="C83" s="48" t="s">
        <v>462</v>
      </c>
      <c r="D83" s="4"/>
      <c r="E83" s="1"/>
      <c r="F83" s="106">
        <v>0</v>
      </c>
      <c r="G83" s="106"/>
      <c r="H83" s="106">
        <v>0</v>
      </c>
      <c r="I83" s="106"/>
      <c r="J83" s="106">
        <v>0</v>
      </c>
      <c r="K83" s="107"/>
      <c r="L83" s="51">
        <v>0</v>
      </c>
    </row>
    <row r="84" spans="1:12" ht="13.5" customHeight="1" x14ac:dyDescent="0.2">
      <c r="A84" s="12"/>
      <c r="B84" s="4"/>
      <c r="C84" s="45" t="s">
        <v>138</v>
      </c>
      <c r="D84" s="7"/>
      <c r="E84" s="1"/>
      <c r="F84" s="51">
        <v>1856386601.48</v>
      </c>
      <c r="G84" s="51"/>
      <c r="H84" s="51">
        <v>172560094.62000003</v>
      </c>
      <c r="I84" s="51"/>
      <c r="J84" s="106">
        <v>0</v>
      </c>
      <c r="K84" s="107"/>
      <c r="L84" s="51">
        <v>2028946696.1000001</v>
      </c>
    </row>
    <row r="85" spans="1:12" ht="13.5" customHeight="1" x14ac:dyDescent="0.2">
      <c r="A85" s="12"/>
      <c r="B85" s="47"/>
      <c r="C85" s="48" t="s">
        <v>463</v>
      </c>
      <c r="D85" s="7"/>
      <c r="E85" s="1"/>
      <c r="F85" s="51">
        <v>-1567453457.3</v>
      </c>
      <c r="G85" s="51"/>
      <c r="H85" s="51">
        <v>-123902492.08</v>
      </c>
      <c r="I85" s="51"/>
      <c r="J85" s="106">
        <v>0</v>
      </c>
      <c r="K85" s="107"/>
      <c r="L85" s="51">
        <v>-1691355949.3799999</v>
      </c>
    </row>
    <row r="86" spans="1:12" ht="13.5" customHeight="1" x14ac:dyDescent="0.2">
      <c r="A86" s="12"/>
      <c r="B86" s="47"/>
      <c r="C86" s="48" t="s">
        <v>464</v>
      </c>
      <c r="D86" s="4"/>
      <c r="E86" s="1"/>
      <c r="F86" s="51">
        <v>0</v>
      </c>
      <c r="G86" s="51"/>
      <c r="H86" s="51">
        <v>0</v>
      </c>
      <c r="I86" s="51"/>
      <c r="J86" s="106">
        <v>0</v>
      </c>
      <c r="K86" s="107"/>
      <c r="L86" s="51">
        <v>0</v>
      </c>
    </row>
    <row r="87" spans="1:12" ht="13.5" customHeight="1" x14ac:dyDescent="0.2">
      <c r="A87" s="12"/>
      <c r="B87" s="4"/>
      <c r="C87" s="45" t="s">
        <v>139</v>
      </c>
      <c r="D87" s="4"/>
      <c r="E87" s="1"/>
      <c r="F87" s="51">
        <v>2996872870.2800002</v>
      </c>
      <c r="G87" s="51"/>
      <c r="H87" s="51">
        <v>0</v>
      </c>
      <c r="I87" s="51"/>
      <c r="J87" s="106">
        <v>0</v>
      </c>
      <c r="K87" s="107"/>
      <c r="L87" s="51">
        <v>2996872870.2800002</v>
      </c>
    </row>
    <row r="88" spans="1:12" ht="13.5" customHeight="1" x14ac:dyDescent="0.2">
      <c r="A88" s="12"/>
      <c r="B88" s="47"/>
      <c r="C88" s="48" t="s">
        <v>465</v>
      </c>
      <c r="D88" s="4"/>
      <c r="E88" s="1"/>
      <c r="F88" s="51">
        <v>-1614411314.0999999</v>
      </c>
      <c r="G88" s="51"/>
      <c r="H88" s="51">
        <v>0</v>
      </c>
      <c r="I88" s="51"/>
      <c r="J88" s="106">
        <v>0</v>
      </c>
      <c r="K88" s="107"/>
      <c r="L88" s="51">
        <v>-1614411314.0999999</v>
      </c>
    </row>
    <row r="89" spans="1:12" ht="13.5" customHeight="1" x14ac:dyDescent="0.2">
      <c r="A89" s="12"/>
      <c r="B89" s="47"/>
      <c r="C89" s="48" t="s">
        <v>466</v>
      </c>
      <c r="D89" s="4"/>
      <c r="E89" s="1"/>
      <c r="F89" s="51">
        <v>0</v>
      </c>
      <c r="G89" s="51"/>
      <c r="H89" s="51">
        <v>0</v>
      </c>
      <c r="I89" s="51"/>
      <c r="J89" s="106">
        <v>0</v>
      </c>
      <c r="K89" s="107"/>
      <c r="L89" s="51">
        <v>0</v>
      </c>
    </row>
    <row r="90" spans="1:12" ht="13.5" customHeight="1" x14ac:dyDescent="0.2">
      <c r="A90" s="12"/>
      <c r="B90" s="4"/>
      <c r="C90" s="45" t="s">
        <v>140</v>
      </c>
      <c r="D90" s="4"/>
      <c r="E90" s="1"/>
      <c r="F90" s="51">
        <v>4337247750.8900003</v>
      </c>
      <c r="G90" s="51"/>
      <c r="H90" s="51">
        <v>3411259.5</v>
      </c>
      <c r="I90" s="51"/>
      <c r="J90" s="106">
        <v>0</v>
      </c>
      <c r="K90" s="107"/>
      <c r="L90" s="51">
        <v>4340659010.3900003</v>
      </c>
    </row>
    <row r="91" spans="1:12" ht="13.5" customHeight="1" x14ac:dyDescent="0.2">
      <c r="A91" s="12"/>
      <c r="B91" s="47"/>
      <c r="C91" s="48" t="s">
        <v>467</v>
      </c>
      <c r="D91" s="4"/>
      <c r="E91" s="1"/>
      <c r="F91" s="51">
        <v>-3474986365.9899998</v>
      </c>
      <c r="G91" s="51"/>
      <c r="H91" s="51">
        <v>-2644584.27</v>
      </c>
      <c r="I91" s="51"/>
      <c r="J91" s="106">
        <v>0</v>
      </c>
      <c r="K91" s="107"/>
      <c r="L91" s="51">
        <v>-3477630950.2599998</v>
      </c>
    </row>
    <row r="92" spans="1:12" ht="13.5" customHeight="1" x14ac:dyDescent="0.2">
      <c r="A92" s="12"/>
      <c r="B92" s="47"/>
      <c r="C92" s="48" t="s">
        <v>468</v>
      </c>
      <c r="D92" s="4"/>
      <c r="E92" s="1"/>
      <c r="F92" s="51">
        <v>0</v>
      </c>
      <c r="G92" s="51"/>
      <c r="H92" s="51">
        <v>0</v>
      </c>
      <c r="I92" s="51"/>
      <c r="J92" s="106">
        <v>0</v>
      </c>
      <c r="K92" s="107"/>
      <c r="L92" s="51">
        <v>0</v>
      </c>
    </row>
    <row r="93" spans="1:12" ht="13.5" customHeight="1" x14ac:dyDescent="0.2">
      <c r="A93" s="12"/>
      <c r="B93" s="4"/>
      <c r="C93" s="45" t="s">
        <v>141</v>
      </c>
      <c r="D93" s="4"/>
      <c r="E93" s="1"/>
      <c r="F93" s="51">
        <v>141481173.13</v>
      </c>
      <c r="G93" s="51"/>
      <c r="H93" s="51">
        <v>0</v>
      </c>
      <c r="I93" s="51"/>
      <c r="J93" s="106">
        <v>0</v>
      </c>
      <c r="K93" s="107"/>
      <c r="L93" s="51">
        <v>141481173.13</v>
      </c>
    </row>
    <row r="94" spans="1:12" ht="13.5" customHeight="1" x14ac:dyDescent="0.2">
      <c r="A94" s="12"/>
      <c r="B94" s="47"/>
      <c r="C94" s="48" t="s">
        <v>469</v>
      </c>
      <c r="D94" s="4"/>
      <c r="E94" s="1"/>
      <c r="F94" s="51">
        <v>-31912278.260000002</v>
      </c>
      <c r="G94" s="51"/>
      <c r="H94" s="51">
        <v>0</v>
      </c>
      <c r="I94" s="51"/>
      <c r="J94" s="106">
        <v>0</v>
      </c>
      <c r="K94" s="107"/>
      <c r="L94" s="51">
        <v>-31912278.260000002</v>
      </c>
    </row>
    <row r="95" spans="1:12" ht="13.5" customHeight="1" x14ac:dyDescent="0.2">
      <c r="A95" s="12"/>
      <c r="B95" s="47"/>
      <c r="C95" s="48" t="s">
        <v>470</v>
      </c>
      <c r="D95" s="4"/>
      <c r="E95" s="1"/>
      <c r="F95" s="51">
        <v>0</v>
      </c>
      <c r="G95" s="51"/>
      <c r="H95" s="51">
        <v>0</v>
      </c>
      <c r="I95" s="51"/>
      <c r="J95" s="106">
        <v>0</v>
      </c>
      <c r="K95" s="107"/>
      <c r="L95" s="51">
        <v>0</v>
      </c>
    </row>
    <row r="96" spans="1:12" ht="13.5" customHeight="1" x14ac:dyDescent="0.2">
      <c r="A96" s="12"/>
      <c r="B96" s="4"/>
      <c r="C96" s="45" t="s">
        <v>142</v>
      </c>
      <c r="D96" s="4"/>
      <c r="E96" s="1"/>
      <c r="F96" s="51">
        <v>56112832.659999996</v>
      </c>
      <c r="G96" s="51"/>
      <c r="H96" s="51">
        <v>3680137.6799999997</v>
      </c>
      <c r="I96" s="51"/>
      <c r="J96" s="106">
        <v>0</v>
      </c>
      <c r="K96" s="107"/>
      <c r="L96" s="51">
        <v>59792970.339999996</v>
      </c>
    </row>
    <row r="97" spans="1:12" ht="13.5" customHeight="1" x14ac:dyDescent="0.2">
      <c r="A97" s="12"/>
      <c r="B97" s="47"/>
      <c r="C97" s="48" t="s">
        <v>471</v>
      </c>
      <c r="D97" s="4"/>
      <c r="E97" s="1"/>
      <c r="F97" s="51">
        <v>-41001036.93</v>
      </c>
      <c r="G97" s="51"/>
      <c r="H97" s="51">
        <v>-3351838.03</v>
      </c>
      <c r="I97" s="51"/>
      <c r="J97" s="106">
        <v>0</v>
      </c>
      <c r="K97" s="107"/>
      <c r="L97" s="51">
        <v>-44352874.960000001</v>
      </c>
    </row>
    <row r="98" spans="1:12" ht="13.5" customHeight="1" x14ac:dyDescent="0.2">
      <c r="A98" s="12"/>
      <c r="B98" s="47"/>
      <c r="C98" s="48" t="s">
        <v>472</v>
      </c>
      <c r="D98" s="4"/>
      <c r="E98" s="1"/>
      <c r="F98" s="51">
        <v>0</v>
      </c>
      <c r="G98" s="51"/>
      <c r="H98" s="51">
        <v>0</v>
      </c>
      <c r="I98" s="51"/>
      <c r="J98" s="106">
        <v>0</v>
      </c>
      <c r="K98" s="107"/>
      <c r="L98" s="51">
        <v>0</v>
      </c>
    </row>
    <row r="99" spans="1:12" ht="13.5" customHeight="1" x14ac:dyDescent="0.2">
      <c r="A99" s="12"/>
      <c r="B99" s="4"/>
      <c r="C99" s="45" t="s">
        <v>143</v>
      </c>
      <c r="D99" s="4"/>
      <c r="E99" s="1"/>
      <c r="F99" s="51">
        <v>164202390.77000001</v>
      </c>
      <c r="G99" s="51"/>
      <c r="H99" s="51">
        <v>72286757.829999998</v>
      </c>
      <c r="I99" s="51"/>
      <c r="J99" s="106">
        <v>0</v>
      </c>
      <c r="K99" s="107"/>
      <c r="L99" s="51">
        <v>236489148.60000002</v>
      </c>
    </row>
    <row r="100" spans="1:12" ht="13.5" customHeight="1" x14ac:dyDescent="0.2">
      <c r="A100" s="12"/>
      <c r="B100" s="47"/>
      <c r="C100" s="48" t="s">
        <v>473</v>
      </c>
      <c r="D100" s="4"/>
      <c r="E100" s="1"/>
      <c r="F100" s="51">
        <v>-57315180.420000002</v>
      </c>
      <c r="G100" s="51"/>
      <c r="H100" s="51">
        <v>-46045892.990000002</v>
      </c>
      <c r="I100" s="51"/>
      <c r="J100" s="106">
        <v>0</v>
      </c>
      <c r="K100" s="107"/>
      <c r="L100" s="51">
        <v>-103361073.41</v>
      </c>
    </row>
    <row r="101" spans="1:12" ht="13.5" customHeight="1" x14ac:dyDescent="0.2">
      <c r="A101" s="12"/>
      <c r="B101" s="47"/>
      <c r="C101" s="48" t="s">
        <v>474</v>
      </c>
      <c r="D101" s="4"/>
      <c r="E101" s="1"/>
      <c r="F101" s="51">
        <v>0</v>
      </c>
      <c r="G101" s="51"/>
      <c r="H101" s="51">
        <v>0</v>
      </c>
      <c r="I101" s="51"/>
      <c r="J101" s="106">
        <v>0</v>
      </c>
      <c r="K101" s="107"/>
      <c r="L101" s="51">
        <v>0</v>
      </c>
    </row>
    <row r="102" spans="1:12" ht="13.5" customHeight="1" x14ac:dyDescent="0.2">
      <c r="A102" s="12"/>
      <c r="B102" s="4"/>
      <c r="C102" s="45" t="s">
        <v>144</v>
      </c>
      <c r="D102" s="4"/>
      <c r="E102" s="1"/>
      <c r="F102" s="51">
        <v>1040674536.66</v>
      </c>
      <c r="G102" s="51"/>
      <c r="H102" s="51">
        <v>0</v>
      </c>
      <c r="I102" s="51"/>
      <c r="J102" s="106">
        <v>0</v>
      </c>
      <c r="K102" s="107"/>
      <c r="L102" s="51">
        <v>1040674536.66</v>
      </c>
    </row>
    <row r="103" spans="1:12" ht="13.5" customHeight="1" x14ac:dyDescent="0.2">
      <c r="A103" s="12"/>
      <c r="B103" s="47"/>
      <c r="C103" s="48" t="s">
        <v>475</v>
      </c>
      <c r="D103" s="4"/>
      <c r="E103" s="1"/>
      <c r="F103" s="51">
        <v>-476362034.30000001</v>
      </c>
      <c r="G103" s="51"/>
      <c r="H103" s="51">
        <v>0</v>
      </c>
      <c r="I103" s="51"/>
      <c r="J103" s="106">
        <v>0</v>
      </c>
      <c r="K103" s="107"/>
      <c r="L103" s="51">
        <v>-476362034.30000001</v>
      </c>
    </row>
    <row r="104" spans="1:12" ht="13.5" customHeight="1" x14ac:dyDescent="0.2">
      <c r="A104" s="12"/>
      <c r="B104" s="47"/>
      <c r="C104" s="48" t="s">
        <v>476</v>
      </c>
      <c r="D104" s="4"/>
      <c r="E104" s="1"/>
      <c r="F104" s="51">
        <v>0</v>
      </c>
      <c r="G104" s="51"/>
      <c r="H104" s="51">
        <v>0</v>
      </c>
      <c r="I104" s="51"/>
      <c r="J104" s="106">
        <v>0</v>
      </c>
      <c r="K104" s="107"/>
      <c r="L104" s="51">
        <v>0</v>
      </c>
    </row>
    <row r="105" spans="1:12" ht="13.5" customHeight="1" x14ac:dyDescent="0.2">
      <c r="A105" s="12"/>
      <c r="B105" s="4"/>
      <c r="C105" s="45" t="s">
        <v>145</v>
      </c>
      <c r="D105" s="4"/>
      <c r="E105" s="1"/>
      <c r="F105" s="51">
        <v>580362399.58000004</v>
      </c>
      <c r="G105" s="51"/>
      <c r="H105" s="51">
        <v>3946057.29</v>
      </c>
      <c r="I105" s="51"/>
      <c r="J105" s="106">
        <v>0</v>
      </c>
      <c r="K105" s="107"/>
      <c r="L105" s="51">
        <v>584308456.87</v>
      </c>
    </row>
    <row r="106" spans="1:12" ht="13.5" customHeight="1" x14ac:dyDescent="0.2">
      <c r="A106" s="12"/>
      <c r="B106" s="47"/>
      <c r="C106" s="48" t="s">
        <v>477</v>
      </c>
      <c r="D106" s="4"/>
      <c r="E106" s="1"/>
      <c r="F106" s="51">
        <v>-408317911.58999997</v>
      </c>
      <c r="G106" s="51"/>
      <c r="H106" s="51">
        <v>-2328630.6</v>
      </c>
      <c r="I106" s="51"/>
      <c r="J106" s="106">
        <v>0</v>
      </c>
      <c r="K106" s="107"/>
      <c r="L106" s="51">
        <v>-410646542.19</v>
      </c>
    </row>
    <row r="107" spans="1:12" ht="13.5" customHeight="1" x14ac:dyDescent="0.2">
      <c r="A107" s="12"/>
      <c r="B107" s="47"/>
      <c r="C107" s="48" t="s">
        <v>478</v>
      </c>
      <c r="D107" s="4"/>
      <c r="E107" s="1"/>
      <c r="F107" s="51">
        <v>0</v>
      </c>
      <c r="G107" s="51"/>
      <c r="H107" s="51">
        <v>0</v>
      </c>
      <c r="I107" s="51"/>
      <c r="J107" s="106">
        <v>0</v>
      </c>
      <c r="K107" s="107"/>
      <c r="L107" s="51">
        <v>0</v>
      </c>
    </row>
    <row r="108" spans="1:12" ht="13.5" customHeight="1" x14ac:dyDescent="0.2">
      <c r="A108" s="12"/>
      <c r="B108" s="4"/>
      <c r="C108" s="45" t="s">
        <v>146</v>
      </c>
      <c r="D108" s="4"/>
      <c r="E108" s="1"/>
      <c r="F108" s="51">
        <v>3923991080.23</v>
      </c>
      <c r="G108" s="51"/>
      <c r="H108" s="51">
        <v>26136212.84</v>
      </c>
      <c r="I108" s="51"/>
      <c r="J108" s="106">
        <v>0</v>
      </c>
      <c r="K108" s="107"/>
      <c r="L108" s="51">
        <v>3950127293.0700002</v>
      </c>
    </row>
    <row r="109" spans="1:12" ht="13.5" customHeight="1" x14ac:dyDescent="0.2">
      <c r="A109" s="12"/>
      <c r="B109" s="47"/>
      <c r="C109" s="48" t="s">
        <v>480</v>
      </c>
      <c r="D109" s="4"/>
      <c r="E109" s="1"/>
      <c r="F109" s="51">
        <v>-1991437915.3099999</v>
      </c>
      <c r="G109" s="51"/>
      <c r="H109" s="51">
        <v>-7272590.5199999996</v>
      </c>
      <c r="I109" s="51"/>
      <c r="J109" s="106">
        <v>0</v>
      </c>
      <c r="K109" s="107"/>
      <c r="L109" s="51">
        <v>-1998710505.8299999</v>
      </c>
    </row>
    <row r="110" spans="1:12" ht="13.5" customHeight="1" x14ac:dyDescent="0.2">
      <c r="A110" s="12"/>
      <c r="B110" s="47"/>
      <c r="C110" s="48" t="s">
        <v>479</v>
      </c>
      <c r="D110" s="4"/>
      <c r="E110" s="1"/>
      <c r="F110" s="51">
        <v>0</v>
      </c>
      <c r="G110" s="51"/>
      <c r="H110" s="51">
        <v>0</v>
      </c>
      <c r="I110" s="51"/>
      <c r="J110" s="106">
        <v>0</v>
      </c>
      <c r="K110" s="107"/>
      <c r="L110" s="51">
        <v>0</v>
      </c>
    </row>
    <row r="111" spans="1:12" ht="13.5" customHeight="1" x14ac:dyDescent="0.2">
      <c r="A111" s="12"/>
      <c r="B111" s="4"/>
      <c r="C111" s="45" t="s">
        <v>147</v>
      </c>
      <c r="D111" s="4"/>
      <c r="E111" s="1"/>
      <c r="F111" s="51">
        <v>2367028582.96</v>
      </c>
      <c r="G111" s="51"/>
      <c r="H111" s="51">
        <v>4891564238.710001</v>
      </c>
      <c r="I111" s="51"/>
      <c r="J111" s="106">
        <v>0</v>
      </c>
      <c r="K111" s="107"/>
      <c r="L111" s="51">
        <v>7258592821.670001</v>
      </c>
    </row>
    <row r="112" spans="1:12" ht="13.5" customHeight="1" x14ac:dyDescent="0.2">
      <c r="A112" s="12"/>
      <c r="B112" s="47"/>
      <c r="C112" s="48" t="s">
        <v>481</v>
      </c>
      <c r="D112" s="4"/>
      <c r="E112" s="1"/>
      <c r="F112" s="51">
        <v>-1124917541.4200001</v>
      </c>
      <c r="G112" s="51"/>
      <c r="H112" s="51">
        <v>-1893972198.97</v>
      </c>
      <c r="I112" s="51"/>
      <c r="J112" s="106">
        <v>0</v>
      </c>
      <c r="K112" s="107"/>
      <c r="L112" s="51">
        <v>-3018889740.3900003</v>
      </c>
    </row>
    <row r="113" spans="1:12" ht="13.5" customHeight="1" x14ac:dyDescent="0.2">
      <c r="A113" s="12"/>
      <c r="B113" s="47"/>
      <c r="C113" s="48" t="s">
        <v>482</v>
      </c>
      <c r="D113" s="4"/>
      <c r="E113" s="1"/>
      <c r="F113" s="51">
        <v>0</v>
      </c>
      <c r="G113" s="51"/>
      <c r="H113" s="51">
        <v>0</v>
      </c>
      <c r="I113" s="51"/>
      <c r="J113" s="106">
        <v>0</v>
      </c>
      <c r="K113" s="107"/>
      <c r="L113" s="51">
        <v>0</v>
      </c>
    </row>
    <row r="114" spans="1:12" ht="13.5" customHeight="1" x14ac:dyDescent="0.2">
      <c r="A114" s="12"/>
      <c r="B114" s="4"/>
      <c r="C114" s="45" t="s">
        <v>148</v>
      </c>
      <c r="D114" s="4"/>
      <c r="E114" s="1"/>
      <c r="F114" s="51">
        <v>2877814123.77</v>
      </c>
      <c r="G114" s="51"/>
      <c r="H114" s="51">
        <v>0</v>
      </c>
      <c r="I114" s="51"/>
      <c r="J114" s="106">
        <v>0</v>
      </c>
      <c r="K114" s="107"/>
      <c r="L114" s="51">
        <v>2877814123.77</v>
      </c>
    </row>
    <row r="115" spans="1:12" ht="13.5" customHeight="1" x14ac:dyDescent="0.2">
      <c r="A115" s="12"/>
      <c r="B115" s="47"/>
      <c r="C115" s="48" t="s">
        <v>484</v>
      </c>
      <c r="D115" s="4"/>
      <c r="E115" s="1"/>
      <c r="F115" s="51">
        <v>-1127642753.22</v>
      </c>
      <c r="G115" s="51"/>
      <c r="H115" s="51">
        <v>0</v>
      </c>
      <c r="I115" s="51"/>
      <c r="J115" s="106">
        <v>0</v>
      </c>
      <c r="K115" s="107"/>
      <c r="L115" s="51">
        <v>-1127642753.22</v>
      </c>
    </row>
    <row r="116" spans="1:12" ht="13.5" customHeight="1" x14ac:dyDescent="0.2">
      <c r="A116" s="12"/>
      <c r="B116" s="47"/>
      <c r="C116" s="48" t="s">
        <v>483</v>
      </c>
      <c r="D116" s="4"/>
      <c r="E116" s="1"/>
      <c r="F116" s="51">
        <v>0</v>
      </c>
      <c r="G116" s="51"/>
      <c r="H116" s="51">
        <v>0</v>
      </c>
      <c r="I116" s="51"/>
      <c r="J116" s="106">
        <v>0</v>
      </c>
      <c r="K116" s="107"/>
      <c r="L116" s="51">
        <v>0</v>
      </c>
    </row>
    <row r="117" spans="1:12" ht="13.5" customHeight="1" x14ac:dyDescent="0.2">
      <c r="A117" s="12"/>
      <c r="B117" s="4"/>
      <c r="C117" s="45" t="s">
        <v>149</v>
      </c>
      <c r="D117" s="4"/>
      <c r="E117" s="1"/>
      <c r="F117" s="51">
        <v>848202025.46000004</v>
      </c>
      <c r="G117" s="51"/>
      <c r="H117" s="51">
        <v>0</v>
      </c>
      <c r="I117" s="51"/>
      <c r="J117" s="106">
        <v>0</v>
      </c>
      <c r="K117" s="107"/>
      <c r="L117" s="51">
        <v>848202025.46000004</v>
      </c>
    </row>
    <row r="118" spans="1:12" ht="13.5" customHeight="1" x14ac:dyDescent="0.2">
      <c r="A118" s="12"/>
      <c r="B118" s="47"/>
      <c r="C118" s="48" t="s">
        <v>485</v>
      </c>
      <c r="D118" s="4"/>
      <c r="E118" s="1"/>
      <c r="F118" s="51">
        <v>-465073424.74000001</v>
      </c>
      <c r="G118" s="51"/>
      <c r="H118" s="51">
        <v>0</v>
      </c>
      <c r="I118" s="51"/>
      <c r="J118" s="106">
        <v>0</v>
      </c>
      <c r="K118" s="107"/>
      <c r="L118" s="51">
        <v>-465073424.74000001</v>
      </c>
    </row>
    <row r="119" spans="1:12" ht="13.5" customHeight="1" x14ac:dyDescent="0.2">
      <c r="A119" s="12"/>
      <c r="B119" s="47"/>
      <c r="C119" s="48" t="s">
        <v>486</v>
      </c>
      <c r="D119" s="4"/>
      <c r="E119" s="1"/>
      <c r="F119" s="51">
        <v>0</v>
      </c>
      <c r="G119" s="51"/>
      <c r="H119" s="51">
        <v>0</v>
      </c>
      <c r="I119" s="51"/>
      <c r="J119" s="106">
        <v>0</v>
      </c>
      <c r="K119" s="107"/>
      <c r="L119" s="51">
        <v>0</v>
      </c>
    </row>
    <row r="120" spans="1:12" ht="13.5" customHeight="1" x14ac:dyDescent="0.2">
      <c r="A120" s="12"/>
      <c r="B120" s="4"/>
      <c r="C120" s="45" t="s">
        <v>150</v>
      </c>
      <c r="D120" s="4"/>
      <c r="E120" s="1"/>
      <c r="F120" s="51">
        <v>148951253.69</v>
      </c>
      <c r="G120" s="51"/>
      <c r="H120" s="51">
        <v>0</v>
      </c>
      <c r="I120" s="51"/>
      <c r="J120" s="106">
        <v>0</v>
      </c>
      <c r="K120" s="107"/>
      <c r="L120" s="51">
        <v>148951253.69</v>
      </c>
    </row>
    <row r="121" spans="1:12" ht="13.5" customHeight="1" x14ac:dyDescent="0.2">
      <c r="A121" s="12"/>
      <c r="B121" s="47"/>
      <c r="C121" s="48" t="s">
        <v>487</v>
      </c>
      <c r="D121" s="4"/>
      <c r="E121" s="1"/>
      <c r="F121" s="51">
        <v>-59871267.240000002</v>
      </c>
      <c r="G121" s="51"/>
      <c r="H121" s="51">
        <v>0</v>
      </c>
      <c r="I121" s="51"/>
      <c r="J121" s="106">
        <v>0</v>
      </c>
      <c r="K121" s="107"/>
      <c r="L121" s="51">
        <v>-59871267.240000002</v>
      </c>
    </row>
    <row r="122" spans="1:12" ht="13.5" customHeight="1" x14ac:dyDescent="0.2">
      <c r="A122" s="12"/>
      <c r="B122" s="47"/>
      <c r="C122" s="48" t="s">
        <v>488</v>
      </c>
      <c r="D122" s="4"/>
      <c r="E122" s="1"/>
      <c r="F122" s="51">
        <v>0</v>
      </c>
      <c r="G122" s="51"/>
      <c r="H122" s="51">
        <v>0</v>
      </c>
      <c r="I122" s="51"/>
      <c r="J122" s="106">
        <v>0</v>
      </c>
      <c r="K122" s="107"/>
      <c r="L122" s="51">
        <v>0</v>
      </c>
    </row>
    <row r="123" spans="1:12" ht="13.5" customHeight="1" x14ac:dyDescent="0.2">
      <c r="A123" s="12"/>
      <c r="B123" s="4"/>
      <c r="C123" s="45" t="s">
        <v>151</v>
      </c>
      <c r="D123" s="4"/>
      <c r="E123" s="1"/>
      <c r="F123" s="51">
        <v>2614965190.3800001</v>
      </c>
      <c r="G123" s="51"/>
      <c r="H123" s="51">
        <v>332422353.40000004</v>
      </c>
      <c r="I123" s="51"/>
      <c r="J123" s="51">
        <v>0</v>
      </c>
      <c r="K123" s="51"/>
      <c r="L123" s="51">
        <v>2947387543.7800002</v>
      </c>
    </row>
    <row r="124" spans="1:12" ht="13.5" customHeight="1" x14ac:dyDescent="0.2">
      <c r="A124" s="12"/>
      <c r="B124" s="47"/>
      <c r="C124" s="48" t="s">
        <v>489</v>
      </c>
      <c r="D124" s="4"/>
      <c r="E124" s="1"/>
      <c r="F124" s="51">
        <v>-1374845358.55</v>
      </c>
      <c r="G124" s="51"/>
      <c r="H124" s="51">
        <v>-206173881.49000001</v>
      </c>
      <c r="I124" s="51"/>
      <c r="J124" s="51">
        <v>0</v>
      </c>
      <c r="K124" s="51"/>
      <c r="L124" s="51">
        <v>-1581019240.04</v>
      </c>
    </row>
    <row r="125" spans="1:12" ht="13.5" customHeight="1" x14ac:dyDescent="0.2">
      <c r="A125" s="12"/>
      <c r="B125" s="47"/>
      <c r="C125" s="48" t="s">
        <v>490</v>
      </c>
      <c r="D125" s="4"/>
      <c r="E125" s="1"/>
      <c r="F125" s="51">
        <v>0</v>
      </c>
      <c r="G125" s="51"/>
      <c r="H125" s="51">
        <v>0</v>
      </c>
      <c r="I125" s="51"/>
      <c r="J125" s="51">
        <v>0</v>
      </c>
      <c r="K125" s="51"/>
      <c r="L125" s="51">
        <v>0</v>
      </c>
    </row>
    <row r="126" spans="1:12" ht="13.5" customHeight="1" x14ac:dyDescent="0.2">
      <c r="A126" s="10"/>
      <c r="B126" s="4"/>
      <c r="C126" s="45" t="s">
        <v>152</v>
      </c>
      <c r="D126" s="7"/>
      <c r="E126" s="1"/>
      <c r="F126" s="51">
        <v>96716102</v>
      </c>
      <c r="G126" s="51"/>
      <c r="H126" s="51">
        <v>0</v>
      </c>
      <c r="I126" s="51"/>
      <c r="J126" s="51">
        <v>0</v>
      </c>
      <c r="K126" s="51"/>
      <c r="L126" s="51">
        <v>96716102</v>
      </c>
    </row>
    <row r="127" spans="1:12" ht="13.5" customHeight="1" x14ac:dyDescent="0.2">
      <c r="A127" s="10"/>
      <c r="B127" s="47"/>
      <c r="C127" s="48" t="s">
        <v>491</v>
      </c>
      <c r="D127" s="7"/>
      <c r="E127" s="1"/>
      <c r="F127" s="51">
        <v>-11335377.949999999</v>
      </c>
      <c r="G127" s="51"/>
      <c r="H127" s="51">
        <v>0</v>
      </c>
      <c r="I127" s="51"/>
      <c r="J127" s="51">
        <v>0</v>
      </c>
      <c r="K127" s="51"/>
      <c r="L127" s="51">
        <v>-11335377.949999999</v>
      </c>
    </row>
    <row r="128" spans="1:12" ht="13.5" customHeight="1" x14ac:dyDescent="0.2">
      <c r="A128" s="10"/>
      <c r="B128" s="47"/>
      <c r="C128" s="48" t="s">
        <v>492</v>
      </c>
      <c r="D128" s="7"/>
      <c r="E128" s="1"/>
      <c r="F128" s="51">
        <v>0</v>
      </c>
      <c r="G128" s="51"/>
      <c r="H128" s="51">
        <v>0</v>
      </c>
      <c r="I128" s="51"/>
      <c r="J128" s="51">
        <v>0</v>
      </c>
      <c r="K128" s="51"/>
      <c r="L128" s="51">
        <v>0</v>
      </c>
    </row>
    <row r="129" spans="1:12" ht="13.5" customHeight="1" x14ac:dyDescent="0.2">
      <c r="A129" s="10"/>
      <c r="B129" s="4"/>
      <c r="C129" s="45" t="s">
        <v>153</v>
      </c>
      <c r="D129" s="7"/>
      <c r="E129" s="1"/>
      <c r="F129" s="51">
        <v>375729302.77999997</v>
      </c>
      <c r="G129" s="51"/>
      <c r="H129" s="51">
        <v>81313192.200000003</v>
      </c>
      <c r="I129" s="51"/>
      <c r="J129" s="51">
        <v>326034</v>
      </c>
      <c r="K129" s="51"/>
      <c r="L129" s="51">
        <v>457368528.97999996</v>
      </c>
    </row>
    <row r="130" spans="1:12" ht="13.5" customHeight="1" x14ac:dyDescent="0.2">
      <c r="A130" s="10"/>
      <c r="B130" s="47"/>
      <c r="C130" s="48" t="s">
        <v>493</v>
      </c>
      <c r="D130" s="7"/>
      <c r="E130" s="1"/>
      <c r="F130" s="51">
        <v>-292415632.85000002</v>
      </c>
      <c r="G130" s="51"/>
      <c r="H130" s="51">
        <v>-70313945.799999997</v>
      </c>
      <c r="I130" s="51"/>
      <c r="J130" s="51">
        <v>0</v>
      </c>
      <c r="K130" s="51"/>
      <c r="L130" s="51">
        <v>-362729578.65000004</v>
      </c>
    </row>
    <row r="131" spans="1:12" ht="13.5" customHeight="1" x14ac:dyDescent="0.2">
      <c r="A131" s="10"/>
      <c r="B131" s="47"/>
      <c r="C131" s="48" t="s">
        <v>494</v>
      </c>
      <c r="D131" s="7"/>
      <c r="E131" s="1"/>
      <c r="F131" s="51">
        <v>0</v>
      </c>
      <c r="G131" s="51"/>
      <c r="H131" s="51">
        <v>0</v>
      </c>
      <c r="I131" s="51"/>
      <c r="J131" s="51">
        <v>0</v>
      </c>
      <c r="K131" s="51"/>
      <c r="L131" s="51">
        <v>0</v>
      </c>
    </row>
    <row r="132" spans="1:12" ht="13.5" customHeight="1" x14ac:dyDescent="0.2">
      <c r="A132" s="10"/>
      <c r="B132" s="4"/>
      <c r="C132" s="45" t="s">
        <v>154</v>
      </c>
      <c r="D132" s="7"/>
      <c r="E132" s="1"/>
      <c r="F132" s="51">
        <v>846726647.59000003</v>
      </c>
      <c r="G132" s="51"/>
      <c r="H132" s="51">
        <v>38258205.859999999</v>
      </c>
      <c r="I132" s="51"/>
      <c r="J132" s="51">
        <v>0</v>
      </c>
      <c r="K132" s="51"/>
      <c r="L132" s="51">
        <v>884984853.45000005</v>
      </c>
    </row>
    <row r="133" spans="1:12" ht="13.5" customHeight="1" x14ac:dyDescent="0.2">
      <c r="A133" s="10"/>
      <c r="B133" s="47"/>
      <c r="C133" s="48" t="s">
        <v>495</v>
      </c>
      <c r="D133" s="7"/>
      <c r="E133" s="1"/>
      <c r="F133" s="51">
        <v>-631558394.22000003</v>
      </c>
      <c r="G133" s="51"/>
      <c r="H133" s="51">
        <v>-22883601.41</v>
      </c>
      <c r="I133" s="51"/>
      <c r="J133" s="51">
        <v>0</v>
      </c>
      <c r="K133" s="51"/>
      <c r="L133" s="51">
        <v>-654441995.63</v>
      </c>
    </row>
    <row r="134" spans="1:12" ht="13.5" customHeight="1" x14ac:dyDescent="0.2">
      <c r="A134" s="10"/>
      <c r="B134" s="47"/>
      <c r="C134" s="48" t="s">
        <v>496</v>
      </c>
      <c r="D134" s="7"/>
      <c r="E134" s="1"/>
      <c r="F134" s="51">
        <v>0</v>
      </c>
      <c r="G134" s="51"/>
      <c r="H134" s="51">
        <v>0</v>
      </c>
      <c r="I134" s="51"/>
      <c r="J134" s="51">
        <v>0</v>
      </c>
      <c r="K134" s="51"/>
      <c r="L134" s="51">
        <v>0</v>
      </c>
    </row>
    <row r="135" spans="1:12" ht="13.5" customHeight="1" x14ac:dyDescent="0.2">
      <c r="A135" s="10"/>
      <c r="B135" s="4"/>
      <c r="C135" s="45" t="s">
        <v>155</v>
      </c>
      <c r="D135" s="7"/>
      <c r="E135" s="1"/>
      <c r="F135" s="51">
        <v>8845253</v>
      </c>
      <c r="G135" s="51"/>
      <c r="H135" s="51">
        <v>0</v>
      </c>
      <c r="I135" s="51"/>
      <c r="J135" s="51">
        <v>0</v>
      </c>
      <c r="K135" s="51"/>
      <c r="L135" s="51">
        <v>8845253</v>
      </c>
    </row>
    <row r="136" spans="1:12" ht="13.5" customHeight="1" x14ac:dyDescent="0.2">
      <c r="A136" s="10"/>
      <c r="B136" s="47"/>
      <c r="C136" s="48" t="s">
        <v>497</v>
      </c>
      <c r="D136" s="7"/>
      <c r="E136" s="1"/>
      <c r="F136" s="51">
        <v>-5371170.3700000001</v>
      </c>
      <c r="G136" s="51"/>
      <c r="H136" s="51">
        <v>0</v>
      </c>
      <c r="I136" s="51"/>
      <c r="J136" s="51">
        <v>0</v>
      </c>
      <c r="K136" s="51"/>
      <c r="L136" s="51">
        <v>-5371170.3700000001</v>
      </c>
    </row>
    <row r="137" spans="1:12" ht="13.5" customHeight="1" x14ac:dyDescent="0.2">
      <c r="A137" s="10"/>
      <c r="B137" s="47"/>
      <c r="C137" s="48" t="s">
        <v>498</v>
      </c>
      <c r="D137" s="7"/>
      <c r="E137" s="1"/>
      <c r="F137" s="51">
        <v>0</v>
      </c>
      <c r="G137" s="51"/>
      <c r="H137" s="51">
        <v>0</v>
      </c>
      <c r="I137" s="51"/>
      <c r="J137" s="51">
        <v>0</v>
      </c>
      <c r="K137" s="51"/>
      <c r="L137" s="51">
        <v>0</v>
      </c>
    </row>
    <row r="138" spans="1:12" ht="13.5" customHeight="1" x14ac:dyDescent="0.2">
      <c r="A138" s="10"/>
      <c r="B138" s="4"/>
      <c r="C138" s="45" t="s">
        <v>156</v>
      </c>
      <c r="D138" s="7"/>
      <c r="E138" s="1"/>
      <c r="F138" s="51">
        <v>131537073.95</v>
      </c>
      <c r="G138" s="51"/>
      <c r="H138" s="51">
        <v>1684948</v>
      </c>
      <c r="I138" s="51"/>
      <c r="J138" s="51">
        <v>0</v>
      </c>
      <c r="K138" s="51"/>
      <c r="L138" s="51">
        <v>133222021.95</v>
      </c>
    </row>
    <row r="139" spans="1:12" ht="13.5" customHeight="1" x14ac:dyDescent="0.2">
      <c r="A139" s="10"/>
      <c r="B139" s="47"/>
      <c r="C139" s="48" t="s">
        <v>499</v>
      </c>
      <c r="D139" s="7"/>
      <c r="E139" s="1"/>
      <c r="F139" s="51">
        <v>-74863735.629999995</v>
      </c>
      <c r="G139" s="51"/>
      <c r="H139" s="51">
        <v>-960593.55</v>
      </c>
      <c r="I139" s="51"/>
      <c r="J139" s="51">
        <v>0</v>
      </c>
      <c r="K139" s="51"/>
      <c r="L139" s="51">
        <v>-75824329.179999992</v>
      </c>
    </row>
    <row r="140" spans="1:12" ht="13.5" customHeight="1" x14ac:dyDescent="0.2">
      <c r="A140" s="10"/>
      <c r="B140" s="47"/>
      <c r="C140" s="48" t="s">
        <v>500</v>
      </c>
      <c r="D140" s="7"/>
      <c r="E140" s="1"/>
      <c r="F140" s="51">
        <v>0</v>
      </c>
      <c r="G140" s="51"/>
      <c r="H140" s="51">
        <v>0</v>
      </c>
      <c r="I140" s="51"/>
      <c r="J140" s="51">
        <v>0</v>
      </c>
      <c r="K140" s="51"/>
      <c r="L140" s="51">
        <v>0</v>
      </c>
    </row>
    <row r="141" spans="1:12" ht="13.5" customHeight="1" x14ac:dyDescent="0.2">
      <c r="A141" s="10"/>
      <c r="B141" s="4"/>
      <c r="C141" s="45" t="s">
        <v>157</v>
      </c>
      <c r="D141" s="7"/>
      <c r="E141" s="1"/>
      <c r="F141" s="51">
        <v>284128926</v>
      </c>
      <c r="G141" s="51"/>
      <c r="H141" s="51">
        <v>0</v>
      </c>
      <c r="I141" s="51"/>
      <c r="J141" s="51">
        <v>0</v>
      </c>
      <c r="K141" s="51"/>
      <c r="L141" s="51">
        <v>284128926</v>
      </c>
    </row>
    <row r="142" spans="1:12" ht="13.5" customHeight="1" x14ac:dyDescent="0.2">
      <c r="A142" s="10"/>
      <c r="B142" s="47"/>
      <c r="C142" s="48" t="s">
        <v>501</v>
      </c>
      <c r="D142" s="7"/>
      <c r="E142" s="1"/>
      <c r="F142" s="51">
        <v>-50313988.229999997</v>
      </c>
      <c r="G142" s="51"/>
      <c r="H142" s="51">
        <v>0</v>
      </c>
      <c r="I142" s="51"/>
      <c r="J142" s="51">
        <v>0</v>
      </c>
      <c r="K142" s="51"/>
      <c r="L142" s="51">
        <v>-50313988.229999997</v>
      </c>
    </row>
    <row r="143" spans="1:12" ht="13.5" customHeight="1" x14ac:dyDescent="0.2">
      <c r="A143" s="10"/>
      <c r="B143" s="47"/>
      <c r="C143" s="48" t="s">
        <v>502</v>
      </c>
      <c r="D143" s="7"/>
      <c r="E143" s="1"/>
      <c r="F143" s="51">
        <v>0</v>
      </c>
      <c r="G143" s="51"/>
      <c r="H143" s="51">
        <v>0</v>
      </c>
      <c r="I143" s="51"/>
      <c r="J143" s="51">
        <v>0</v>
      </c>
      <c r="K143" s="51"/>
      <c r="L143" s="51">
        <v>0</v>
      </c>
    </row>
    <row r="144" spans="1:12" ht="13.5" customHeight="1" x14ac:dyDescent="0.2">
      <c r="A144" s="10"/>
      <c r="B144" s="4"/>
      <c r="C144" s="45" t="s">
        <v>158</v>
      </c>
      <c r="D144" s="7"/>
      <c r="E144" s="1"/>
      <c r="F144" s="51">
        <v>776417066.79999995</v>
      </c>
      <c r="G144" s="51"/>
      <c r="H144" s="51">
        <v>165000</v>
      </c>
      <c r="I144" s="51"/>
      <c r="J144" s="51">
        <v>0</v>
      </c>
      <c r="K144" s="51"/>
      <c r="L144" s="51">
        <v>776582066.79999995</v>
      </c>
    </row>
    <row r="145" spans="1:12" ht="13.5" customHeight="1" x14ac:dyDescent="0.2">
      <c r="A145" s="10"/>
      <c r="B145" s="47"/>
      <c r="C145" s="48" t="s">
        <v>503</v>
      </c>
      <c r="D145" s="7"/>
      <c r="E145" s="1"/>
      <c r="F145" s="51">
        <v>-596160155.13</v>
      </c>
      <c r="G145" s="51"/>
      <c r="H145" s="51">
        <v>-146850</v>
      </c>
      <c r="I145" s="51"/>
      <c r="J145" s="51">
        <v>0</v>
      </c>
      <c r="K145" s="51"/>
      <c r="L145" s="51">
        <v>-596307005.13</v>
      </c>
    </row>
    <row r="146" spans="1:12" ht="13.5" customHeight="1" x14ac:dyDescent="0.2">
      <c r="A146" s="10"/>
      <c r="B146" s="47"/>
      <c r="C146" s="48" t="s">
        <v>504</v>
      </c>
      <c r="D146" s="7"/>
      <c r="E146" s="1"/>
      <c r="F146" s="51">
        <v>0</v>
      </c>
      <c r="G146" s="51"/>
      <c r="H146" s="51">
        <v>0</v>
      </c>
      <c r="I146" s="51"/>
      <c r="J146" s="51">
        <v>0</v>
      </c>
      <c r="K146" s="51"/>
      <c r="L146" s="51">
        <v>0</v>
      </c>
    </row>
    <row r="147" spans="1:12" ht="13.5" customHeight="1" x14ac:dyDescent="0.2">
      <c r="A147" s="10"/>
      <c r="B147" s="4"/>
      <c r="C147" s="45" t="s">
        <v>159</v>
      </c>
      <c r="D147" s="7"/>
      <c r="E147" s="1"/>
      <c r="F147" s="51">
        <v>126484630.44</v>
      </c>
      <c r="G147" s="51"/>
      <c r="H147" s="51">
        <v>432733</v>
      </c>
      <c r="I147" s="51"/>
      <c r="J147" s="51">
        <v>0</v>
      </c>
      <c r="K147" s="51"/>
      <c r="L147" s="51">
        <v>126917363.44</v>
      </c>
    </row>
    <row r="148" spans="1:12" ht="13.5" customHeight="1" x14ac:dyDescent="0.2">
      <c r="A148" s="10"/>
      <c r="B148" s="47"/>
      <c r="C148" s="48" t="s">
        <v>505</v>
      </c>
      <c r="D148" s="7"/>
      <c r="E148" s="1"/>
      <c r="F148" s="51">
        <v>-86628412.980000004</v>
      </c>
      <c r="G148" s="51"/>
      <c r="H148" s="51">
        <v>-274650.01</v>
      </c>
      <c r="I148" s="51"/>
      <c r="J148" s="51">
        <v>0</v>
      </c>
      <c r="K148" s="51"/>
      <c r="L148" s="51">
        <v>-86903062.99000001</v>
      </c>
    </row>
    <row r="149" spans="1:12" ht="13.5" customHeight="1" x14ac:dyDescent="0.2">
      <c r="A149" s="10"/>
      <c r="B149" s="47"/>
      <c r="C149" s="48" t="s">
        <v>506</v>
      </c>
      <c r="D149" s="7"/>
      <c r="E149" s="1"/>
      <c r="F149" s="51">
        <v>0</v>
      </c>
      <c r="G149" s="51"/>
      <c r="H149" s="51">
        <v>0</v>
      </c>
      <c r="I149" s="51"/>
      <c r="J149" s="51">
        <v>0</v>
      </c>
      <c r="K149" s="51"/>
      <c r="L149" s="51">
        <v>0</v>
      </c>
    </row>
    <row r="150" spans="1:12" ht="13.5" customHeight="1" x14ac:dyDescent="0.2">
      <c r="A150" s="10"/>
      <c r="B150" s="4"/>
      <c r="C150" s="45" t="s">
        <v>160</v>
      </c>
      <c r="D150" s="7"/>
      <c r="E150" s="1"/>
      <c r="F150" s="51">
        <v>2425360893.9499998</v>
      </c>
      <c r="G150" s="51"/>
      <c r="H150" s="51">
        <v>6087013</v>
      </c>
      <c r="I150" s="51"/>
      <c r="J150" s="51">
        <v>99388</v>
      </c>
      <c r="K150" s="51"/>
      <c r="L150" s="51">
        <v>2431547294.9499998</v>
      </c>
    </row>
    <row r="151" spans="1:12" ht="13.5" customHeight="1" x14ac:dyDescent="0.2">
      <c r="A151" s="10"/>
      <c r="B151" s="47"/>
      <c r="C151" s="48" t="s">
        <v>507</v>
      </c>
      <c r="D151" s="7"/>
      <c r="E151" s="1"/>
      <c r="F151" s="51">
        <v>-1695211003.3800001</v>
      </c>
      <c r="G151" s="51"/>
      <c r="H151" s="51">
        <v>-5801961.7300000004</v>
      </c>
      <c r="I151" s="51"/>
      <c r="J151" s="51">
        <v>0</v>
      </c>
      <c r="K151" s="51"/>
      <c r="L151" s="51">
        <v>-1701012965.1100001</v>
      </c>
    </row>
    <row r="152" spans="1:12" ht="13.5" customHeight="1" x14ac:dyDescent="0.2">
      <c r="A152" s="10"/>
      <c r="B152" s="47"/>
      <c r="C152" s="48" t="s">
        <v>508</v>
      </c>
      <c r="D152" s="7"/>
      <c r="E152" s="1"/>
      <c r="F152" s="51">
        <v>0</v>
      </c>
      <c r="G152" s="51"/>
      <c r="H152" s="51">
        <v>0</v>
      </c>
      <c r="I152" s="51"/>
      <c r="J152" s="51">
        <v>0</v>
      </c>
      <c r="K152" s="51"/>
      <c r="L152" s="51">
        <v>0</v>
      </c>
    </row>
    <row r="153" spans="1:12" ht="13.5" customHeight="1" x14ac:dyDescent="0.2">
      <c r="A153" s="10"/>
      <c r="B153" s="4"/>
      <c r="C153" s="45" t="s">
        <v>161</v>
      </c>
      <c r="D153" s="7"/>
      <c r="E153" s="1"/>
      <c r="F153" s="51">
        <v>1126767</v>
      </c>
      <c r="G153" s="51"/>
      <c r="H153" s="51">
        <v>0</v>
      </c>
      <c r="I153" s="51"/>
      <c r="J153" s="51">
        <v>0</v>
      </c>
      <c r="K153" s="51"/>
      <c r="L153" s="51">
        <v>1126767</v>
      </c>
    </row>
    <row r="154" spans="1:12" ht="13.5" customHeight="1" x14ac:dyDescent="0.2">
      <c r="A154" s="10"/>
      <c r="B154" s="47"/>
      <c r="C154" s="48" t="s">
        <v>509</v>
      </c>
      <c r="D154" s="7"/>
      <c r="E154" s="1"/>
      <c r="F154" s="51">
        <v>-474477.63</v>
      </c>
      <c r="G154" s="51"/>
      <c r="H154" s="51">
        <v>0</v>
      </c>
      <c r="I154" s="51"/>
      <c r="J154" s="51">
        <v>0</v>
      </c>
      <c r="K154" s="51"/>
      <c r="L154" s="51">
        <v>-474477.63</v>
      </c>
    </row>
    <row r="155" spans="1:12" ht="13.5" customHeight="1" x14ac:dyDescent="0.2">
      <c r="A155" s="10"/>
      <c r="B155" s="47"/>
      <c r="C155" s="48" t="s">
        <v>510</v>
      </c>
      <c r="D155" s="7"/>
      <c r="E155" s="1"/>
      <c r="F155" s="51">
        <v>0</v>
      </c>
      <c r="G155" s="51"/>
      <c r="H155" s="51">
        <v>0</v>
      </c>
      <c r="I155" s="51"/>
      <c r="J155" s="51">
        <v>0</v>
      </c>
      <c r="K155" s="51"/>
      <c r="L155" s="51">
        <v>0</v>
      </c>
    </row>
    <row r="156" spans="1:12" ht="13.5" customHeight="1" x14ac:dyDescent="0.2">
      <c r="A156" s="10"/>
      <c r="B156" s="4"/>
      <c r="C156" s="45" t="s">
        <v>162</v>
      </c>
      <c r="D156" s="7"/>
      <c r="E156" s="1"/>
      <c r="F156" s="51">
        <v>4273245</v>
      </c>
      <c r="G156" s="51"/>
      <c r="H156" s="51">
        <v>348750</v>
      </c>
      <c r="I156" s="51"/>
      <c r="J156" s="51">
        <v>0</v>
      </c>
      <c r="K156" s="51"/>
      <c r="L156" s="51">
        <v>4621995</v>
      </c>
    </row>
    <row r="157" spans="1:12" ht="13.5" customHeight="1" x14ac:dyDescent="0.2">
      <c r="A157" s="10"/>
      <c r="B157" s="47"/>
      <c r="C157" s="48" t="s">
        <v>511</v>
      </c>
      <c r="D157" s="7"/>
      <c r="E157" s="1"/>
      <c r="F157" s="51">
        <v>-3556212.02</v>
      </c>
      <c r="G157" s="51"/>
      <c r="H157" s="51">
        <v>-236214.36</v>
      </c>
      <c r="I157" s="51"/>
      <c r="J157" s="51">
        <v>0</v>
      </c>
      <c r="K157" s="51"/>
      <c r="L157" s="51">
        <v>-3792426.38</v>
      </c>
    </row>
    <row r="158" spans="1:12" ht="13.5" customHeight="1" x14ac:dyDescent="0.2">
      <c r="A158" s="10"/>
      <c r="B158" s="47"/>
      <c r="C158" s="48" t="s">
        <v>512</v>
      </c>
      <c r="D158" s="7"/>
      <c r="E158" s="1"/>
      <c r="F158" s="51">
        <v>0</v>
      </c>
      <c r="G158" s="51"/>
      <c r="H158" s="51">
        <v>0</v>
      </c>
      <c r="I158" s="51"/>
      <c r="J158" s="51">
        <v>0</v>
      </c>
      <c r="K158" s="51"/>
      <c r="L158" s="51">
        <v>0</v>
      </c>
    </row>
    <row r="159" spans="1:12" ht="13.5" customHeight="1" x14ac:dyDescent="0.2">
      <c r="A159" s="10"/>
      <c r="B159" s="4"/>
      <c r="C159" s="45" t="s">
        <v>163</v>
      </c>
      <c r="D159" s="7"/>
      <c r="E159" s="1"/>
      <c r="F159" s="51">
        <v>32214900.969999999</v>
      </c>
      <c r="G159" s="51"/>
      <c r="H159" s="51">
        <v>1027430</v>
      </c>
      <c r="I159" s="51"/>
      <c r="J159" s="51">
        <v>0</v>
      </c>
      <c r="K159" s="51"/>
      <c r="L159" s="51">
        <v>33242330.969999999</v>
      </c>
    </row>
    <row r="160" spans="1:12" ht="13.5" customHeight="1" x14ac:dyDescent="0.2">
      <c r="A160" s="10"/>
      <c r="B160" s="47"/>
      <c r="C160" s="48" t="s">
        <v>513</v>
      </c>
      <c r="D160" s="7"/>
      <c r="E160" s="1"/>
      <c r="F160" s="51">
        <v>-25079431.27</v>
      </c>
      <c r="G160" s="51"/>
      <c r="H160" s="51">
        <v>-498534.04</v>
      </c>
      <c r="I160" s="51"/>
      <c r="J160" s="51">
        <v>0</v>
      </c>
      <c r="K160" s="51"/>
      <c r="L160" s="51">
        <v>-25577965.309999999</v>
      </c>
    </row>
    <row r="161" spans="1:12" ht="13.5" customHeight="1" x14ac:dyDescent="0.2">
      <c r="A161" s="10"/>
      <c r="B161" s="47"/>
      <c r="C161" s="48" t="s">
        <v>514</v>
      </c>
      <c r="D161" s="7"/>
      <c r="E161" s="1"/>
      <c r="F161" s="51">
        <v>0</v>
      </c>
      <c r="G161" s="51"/>
      <c r="H161" s="51">
        <v>0</v>
      </c>
      <c r="I161" s="51"/>
      <c r="J161" s="51">
        <v>0</v>
      </c>
      <c r="K161" s="51"/>
      <c r="L161" s="51">
        <v>0</v>
      </c>
    </row>
    <row r="162" spans="1:12" ht="13.5" customHeight="1" x14ac:dyDescent="0.2">
      <c r="A162" s="10"/>
      <c r="B162" s="4"/>
      <c r="C162" s="45" t="s">
        <v>164</v>
      </c>
      <c r="D162" s="7"/>
      <c r="E162" s="1"/>
      <c r="F162" s="51">
        <v>133543522.98</v>
      </c>
      <c r="G162" s="51"/>
      <c r="H162" s="51">
        <v>1025000</v>
      </c>
      <c r="I162" s="51"/>
      <c r="J162" s="51">
        <v>0</v>
      </c>
      <c r="K162" s="51"/>
      <c r="L162" s="51">
        <v>134568522.98000002</v>
      </c>
    </row>
    <row r="163" spans="1:12" ht="13.5" customHeight="1" x14ac:dyDescent="0.2">
      <c r="A163" s="10"/>
      <c r="B163" s="47"/>
      <c r="C163" s="48" t="s">
        <v>515</v>
      </c>
      <c r="D163" s="7"/>
      <c r="E163" s="1"/>
      <c r="F163" s="51">
        <v>-110383639.01000001</v>
      </c>
      <c r="G163" s="51"/>
      <c r="H163" s="51">
        <v>-788033.58</v>
      </c>
      <c r="I163" s="51"/>
      <c r="J163" s="51">
        <v>0</v>
      </c>
      <c r="K163" s="51"/>
      <c r="L163" s="51">
        <v>-111171672.59</v>
      </c>
    </row>
    <row r="164" spans="1:12" ht="13.5" customHeight="1" x14ac:dyDescent="0.2">
      <c r="A164" s="10"/>
      <c r="B164" s="47"/>
      <c r="C164" s="48" t="s">
        <v>516</v>
      </c>
      <c r="D164" s="7"/>
      <c r="E164" s="1"/>
      <c r="F164" s="51">
        <v>0</v>
      </c>
      <c r="G164" s="51"/>
      <c r="H164" s="51">
        <v>0</v>
      </c>
      <c r="I164" s="51"/>
      <c r="J164" s="51">
        <v>0</v>
      </c>
      <c r="K164" s="51"/>
      <c r="L164" s="51">
        <v>0</v>
      </c>
    </row>
    <row r="165" spans="1:12" ht="13.5" customHeight="1" x14ac:dyDescent="0.2">
      <c r="A165" s="12"/>
      <c r="B165" s="4"/>
      <c r="C165" s="45" t="s">
        <v>165</v>
      </c>
      <c r="D165" s="4"/>
      <c r="E165" s="1"/>
      <c r="F165" s="51">
        <v>1081163835.9200001</v>
      </c>
      <c r="G165" s="51"/>
      <c r="H165" s="51">
        <v>9036400</v>
      </c>
      <c r="I165" s="51"/>
      <c r="J165" s="51">
        <v>0</v>
      </c>
      <c r="K165" s="51"/>
      <c r="L165" s="51">
        <v>1090200235.9200001</v>
      </c>
    </row>
    <row r="166" spans="1:12" ht="13.5" customHeight="1" x14ac:dyDescent="0.2">
      <c r="A166" s="12"/>
      <c r="B166" s="47"/>
      <c r="C166" s="48" t="s">
        <v>517</v>
      </c>
      <c r="D166" s="4"/>
      <c r="E166" s="1"/>
      <c r="F166" s="51">
        <v>-687017732.95000005</v>
      </c>
      <c r="G166" s="51"/>
      <c r="H166" s="51">
        <v>-8584580</v>
      </c>
      <c r="I166" s="51"/>
      <c r="J166" s="51">
        <v>0</v>
      </c>
      <c r="K166" s="51"/>
      <c r="L166" s="51">
        <v>-695602312.95000005</v>
      </c>
    </row>
    <row r="167" spans="1:12" ht="13.5" customHeight="1" x14ac:dyDescent="0.2">
      <c r="A167" s="12"/>
      <c r="B167" s="47"/>
      <c r="C167" s="48" t="s">
        <v>518</v>
      </c>
      <c r="D167" s="4"/>
      <c r="E167" s="1"/>
      <c r="F167" s="51">
        <v>0</v>
      </c>
      <c r="G167" s="51"/>
      <c r="H167" s="51">
        <v>0</v>
      </c>
      <c r="I167" s="51"/>
      <c r="J167" s="51">
        <v>0</v>
      </c>
      <c r="K167" s="51"/>
      <c r="L167" s="51">
        <v>0</v>
      </c>
    </row>
    <row r="168" spans="1:12" ht="13.5" customHeight="1" x14ac:dyDescent="0.2">
      <c r="A168" s="12"/>
      <c r="B168" s="4"/>
      <c r="C168" s="45" t="s">
        <v>166</v>
      </c>
      <c r="D168" s="4"/>
      <c r="E168" s="1"/>
      <c r="F168" s="51">
        <v>11075000</v>
      </c>
      <c r="G168" s="51"/>
      <c r="H168" s="51">
        <v>0</v>
      </c>
      <c r="I168" s="51"/>
      <c r="J168" s="51">
        <v>0</v>
      </c>
      <c r="K168" s="51"/>
      <c r="L168" s="51">
        <v>11075000</v>
      </c>
    </row>
    <row r="169" spans="1:12" ht="13.5" customHeight="1" x14ac:dyDescent="0.2">
      <c r="A169" s="12"/>
      <c r="B169" s="47"/>
      <c r="C169" s="48" t="s">
        <v>519</v>
      </c>
      <c r="D169" s="4"/>
      <c r="E169" s="1"/>
      <c r="F169" s="51">
        <v>-7657337.5</v>
      </c>
      <c r="G169" s="51"/>
      <c r="H169" s="51">
        <v>0</v>
      </c>
      <c r="I169" s="51"/>
      <c r="J169" s="51">
        <v>0</v>
      </c>
      <c r="K169" s="51"/>
      <c r="L169" s="51">
        <v>-7657337.5</v>
      </c>
    </row>
    <row r="170" spans="1:12" ht="13.5" customHeight="1" x14ac:dyDescent="0.2">
      <c r="A170" s="12"/>
      <c r="B170" s="47"/>
      <c r="C170" s="48" t="s">
        <v>520</v>
      </c>
      <c r="D170" s="4"/>
      <c r="E170" s="1"/>
      <c r="F170" s="51">
        <v>0</v>
      </c>
      <c r="G170" s="51"/>
      <c r="H170" s="51">
        <v>0</v>
      </c>
      <c r="I170" s="51"/>
      <c r="J170" s="51">
        <v>0</v>
      </c>
      <c r="K170" s="51"/>
      <c r="L170" s="51">
        <v>0</v>
      </c>
    </row>
    <row r="171" spans="1:12" ht="13.5" customHeight="1" x14ac:dyDescent="0.2">
      <c r="A171" s="12"/>
      <c r="B171" s="4"/>
      <c r="C171" s="45" t="s">
        <v>167</v>
      </c>
      <c r="D171" s="4"/>
      <c r="E171" s="1"/>
      <c r="F171" s="51">
        <v>38764528.890000001</v>
      </c>
      <c r="G171" s="51"/>
      <c r="H171" s="51">
        <v>0</v>
      </c>
      <c r="I171" s="51"/>
      <c r="J171" s="51">
        <v>0</v>
      </c>
      <c r="K171" s="51"/>
      <c r="L171" s="51">
        <v>38764528.890000001</v>
      </c>
    </row>
    <row r="172" spans="1:12" ht="13.5" customHeight="1" x14ac:dyDescent="0.2">
      <c r="A172" s="12"/>
      <c r="B172" s="47"/>
      <c r="C172" s="48" t="s">
        <v>522</v>
      </c>
      <c r="D172" s="4"/>
      <c r="E172" s="1"/>
      <c r="F172" s="51">
        <v>-23595552.440000001</v>
      </c>
      <c r="G172" s="51"/>
      <c r="H172" s="51">
        <v>0</v>
      </c>
      <c r="I172" s="51"/>
      <c r="J172" s="51">
        <v>0</v>
      </c>
      <c r="K172" s="51"/>
      <c r="L172" s="51">
        <v>-23595552.440000001</v>
      </c>
    </row>
    <row r="173" spans="1:12" ht="13.5" customHeight="1" x14ac:dyDescent="0.2">
      <c r="A173" s="12"/>
      <c r="B173" s="47"/>
      <c r="C173" s="48" t="s">
        <v>521</v>
      </c>
      <c r="D173" s="4"/>
      <c r="E173" s="1"/>
      <c r="F173" s="51">
        <v>0</v>
      </c>
      <c r="G173" s="51"/>
      <c r="H173" s="51">
        <v>0</v>
      </c>
      <c r="I173" s="51"/>
      <c r="J173" s="51">
        <v>0</v>
      </c>
      <c r="K173" s="51"/>
      <c r="L173" s="51">
        <v>0</v>
      </c>
    </row>
    <row r="174" spans="1:12" ht="13.5" customHeight="1" x14ac:dyDescent="0.2">
      <c r="A174" s="12"/>
      <c r="B174" s="4"/>
      <c r="C174" s="45" t="s">
        <v>168</v>
      </c>
      <c r="D174" s="4"/>
      <c r="E174" s="1"/>
      <c r="F174" s="51">
        <v>95968275</v>
      </c>
      <c r="G174" s="51"/>
      <c r="H174" s="51">
        <v>0</v>
      </c>
      <c r="I174" s="51"/>
      <c r="J174" s="51">
        <v>0</v>
      </c>
      <c r="K174" s="51"/>
      <c r="L174" s="51">
        <v>95968275</v>
      </c>
    </row>
    <row r="175" spans="1:12" ht="13.5" customHeight="1" x14ac:dyDescent="0.2">
      <c r="A175" s="12"/>
      <c r="B175" s="47"/>
      <c r="C175" s="48" t="s">
        <v>523</v>
      </c>
      <c r="D175" s="4"/>
      <c r="E175" s="1"/>
      <c r="F175" s="51">
        <v>-67847482.480000004</v>
      </c>
      <c r="G175" s="51"/>
      <c r="H175" s="51">
        <v>0</v>
      </c>
      <c r="I175" s="51"/>
      <c r="J175" s="51">
        <v>0</v>
      </c>
      <c r="K175" s="51"/>
      <c r="L175" s="51">
        <v>-67847482.480000004</v>
      </c>
    </row>
    <row r="176" spans="1:12" ht="13.5" customHeight="1" x14ac:dyDescent="0.2">
      <c r="A176" s="12"/>
      <c r="B176" s="47"/>
      <c r="C176" s="48" t="s">
        <v>524</v>
      </c>
      <c r="D176" s="4"/>
      <c r="E176" s="1"/>
      <c r="F176" s="51">
        <v>0</v>
      </c>
      <c r="G176" s="51"/>
      <c r="H176" s="51">
        <v>0</v>
      </c>
      <c r="I176" s="51"/>
      <c r="J176" s="51">
        <v>0</v>
      </c>
      <c r="K176" s="51"/>
      <c r="L176" s="51">
        <v>0</v>
      </c>
    </row>
    <row r="177" spans="1:12" ht="13.5" customHeight="1" x14ac:dyDescent="0.2">
      <c r="A177" s="10"/>
      <c r="B177" s="4"/>
      <c r="C177" s="45" t="s">
        <v>169</v>
      </c>
      <c r="D177" s="7"/>
      <c r="E177" s="1"/>
      <c r="F177" s="51">
        <v>74370920.950000003</v>
      </c>
      <c r="G177" s="51"/>
      <c r="H177" s="51">
        <v>5306782.92</v>
      </c>
      <c r="I177" s="51"/>
      <c r="J177" s="51">
        <v>0</v>
      </c>
      <c r="K177" s="51"/>
      <c r="L177" s="51">
        <v>79677703.870000005</v>
      </c>
    </row>
    <row r="178" spans="1:12" ht="13.5" customHeight="1" x14ac:dyDescent="0.2">
      <c r="A178" s="10"/>
      <c r="B178" s="47"/>
      <c r="C178" s="48" t="s">
        <v>525</v>
      </c>
      <c r="D178" s="7"/>
      <c r="E178" s="1"/>
      <c r="F178" s="51">
        <v>-48864039.240000002</v>
      </c>
      <c r="G178" s="51"/>
      <c r="H178" s="51">
        <v>-3776606.8</v>
      </c>
      <c r="I178" s="51"/>
      <c r="J178" s="51">
        <v>0</v>
      </c>
      <c r="K178" s="51"/>
      <c r="L178" s="51">
        <v>-52640646.039999999</v>
      </c>
    </row>
    <row r="179" spans="1:12" ht="13.5" customHeight="1" x14ac:dyDescent="0.2">
      <c r="A179" s="10"/>
      <c r="B179" s="47"/>
      <c r="C179" s="48" t="s">
        <v>526</v>
      </c>
      <c r="D179" s="7"/>
      <c r="E179" s="1"/>
      <c r="F179" s="51">
        <v>0</v>
      </c>
      <c r="G179" s="51"/>
      <c r="H179" s="51">
        <v>0</v>
      </c>
      <c r="I179" s="51"/>
      <c r="J179" s="51">
        <v>0</v>
      </c>
      <c r="K179" s="51"/>
      <c r="L179" s="51">
        <v>0</v>
      </c>
    </row>
    <row r="180" spans="1:12" ht="13.5" customHeight="1" x14ac:dyDescent="0.2">
      <c r="A180" s="10"/>
      <c r="B180" s="4"/>
      <c r="C180" s="45" t="s">
        <v>170</v>
      </c>
      <c r="D180" s="7"/>
      <c r="E180" s="1"/>
      <c r="F180" s="51">
        <v>3472267.38</v>
      </c>
      <c r="G180" s="51"/>
      <c r="H180" s="51">
        <v>0</v>
      </c>
      <c r="I180" s="51"/>
      <c r="J180" s="51">
        <v>0</v>
      </c>
      <c r="K180" s="51"/>
      <c r="L180" s="51">
        <v>3472267.38</v>
      </c>
    </row>
    <row r="181" spans="1:12" ht="13.5" customHeight="1" x14ac:dyDescent="0.2">
      <c r="A181" s="10"/>
      <c r="B181" s="47"/>
      <c r="C181" s="48" t="s">
        <v>527</v>
      </c>
      <c r="D181" s="7"/>
      <c r="E181" s="1"/>
      <c r="F181" s="51">
        <v>-3231574.02</v>
      </c>
      <c r="G181" s="51"/>
      <c r="H181" s="51">
        <v>0</v>
      </c>
      <c r="I181" s="51"/>
      <c r="J181" s="51">
        <v>0</v>
      </c>
      <c r="K181" s="51"/>
      <c r="L181" s="51">
        <v>-3231574.02</v>
      </c>
    </row>
    <row r="182" spans="1:12" ht="13.5" customHeight="1" x14ac:dyDescent="0.2">
      <c r="A182" s="12"/>
      <c r="B182" s="47"/>
      <c r="C182" s="48" t="s">
        <v>528</v>
      </c>
      <c r="D182" s="4"/>
      <c r="E182" s="1"/>
      <c r="F182" s="51">
        <v>0</v>
      </c>
      <c r="G182" s="51"/>
      <c r="H182" s="51">
        <v>0</v>
      </c>
      <c r="I182" s="51"/>
      <c r="J182" s="51">
        <v>0</v>
      </c>
      <c r="K182" s="51"/>
      <c r="L182" s="51">
        <v>0</v>
      </c>
    </row>
    <row r="183" spans="1:12" ht="13.5" customHeight="1" x14ac:dyDescent="0.2">
      <c r="A183" s="12"/>
      <c r="B183" s="4"/>
      <c r="C183" s="45" t="s">
        <v>171</v>
      </c>
      <c r="D183" s="4"/>
      <c r="E183" s="1"/>
      <c r="F183" s="51">
        <v>1899610733.79</v>
      </c>
      <c r="G183" s="51"/>
      <c r="H183" s="51">
        <v>0</v>
      </c>
      <c r="I183" s="51"/>
      <c r="J183" s="51">
        <v>0</v>
      </c>
      <c r="K183" s="51"/>
      <c r="L183" s="51">
        <v>1899610733.79</v>
      </c>
    </row>
    <row r="184" spans="1:12" ht="13.5" customHeight="1" x14ac:dyDescent="0.2">
      <c r="A184" s="12"/>
      <c r="B184" s="47"/>
      <c r="C184" s="48" t="s">
        <v>529</v>
      </c>
      <c r="D184" s="4"/>
      <c r="E184" s="1"/>
      <c r="F184" s="51">
        <v>-851985929.08000004</v>
      </c>
      <c r="G184" s="51"/>
      <c r="H184" s="51">
        <v>0</v>
      </c>
      <c r="I184" s="51"/>
      <c r="J184" s="51">
        <v>0</v>
      </c>
      <c r="K184" s="107"/>
      <c r="L184" s="51">
        <v>-851985929.08000004</v>
      </c>
    </row>
    <row r="185" spans="1:12" ht="13.5" customHeight="1" x14ac:dyDescent="0.2">
      <c r="A185" s="12"/>
      <c r="B185" s="47"/>
      <c r="C185" s="48" t="s">
        <v>530</v>
      </c>
      <c r="D185" s="4"/>
      <c r="E185" s="1"/>
      <c r="F185" s="51">
        <v>0</v>
      </c>
      <c r="G185" s="51"/>
      <c r="H185" s="51">
        <v>0</v>
      </c>
      <c r="I185" s="51"/>
      <c r="J185" s="51">
        <v>0</v>
      </c>
      <c r="K185" s="107"/>
      <c r="L185" s="51">
        <v>0</v>
      </c>
    </row>
    <row r="186" spans="1:12" ht="13.5" customHeight="1" x14ac:dyDescent="0.2">
      <c r="A186" s="12"/>
      <c r="B186" s="4"/>
      <c r="C186" s="45" t="s">
        <v>172</v>
      </c>
      <c r="D186" s="4"/>
      <c r="E186" s="1"/>
      <c r="F186" s="51">
        <v>19925767.91</v>
      </c>
      <c r="G186" s="51"/>
      <c r="H186" s="51">
        <v>0</v>
      </c>
      <c r="I186" s="51"/>
      <c r="J186" s="51">
        <v>0</v>
      </c>
      <c r="K186" s="107"/>
      <c r="L186" s="51">
        <v>19925767.91</v>
      </c>
    </row>
    <row r="187" spans="1:12" ht="13.5" customHeight="1" x14ac:dyDescent="0.2">
      <c r="A187" s="12"/>
      <c r="B187" s="4"/>
      <c r="C187" s="45" t="s">
        <v>173</v>
      </c>
      <c r="D187" s="4"/>
      <c r="E187" s="1"/>
      <c r="F187" s="51">
        <v>435254637.39999998</v>
      </c>
      <c r="G187" s="51"/>
      <c r="H187" s="51">
        <v>0</v>
      </c>
      <c r="I187" s="51"/>
      <c r="J187" s="51">
        <v>0</v>
      </c>
      <c r="K187" s="107"/>
      <c r="L187" s="51">
        <v>435254637.39999998</v>
      </c>
    </row>
    <row r="188" spans="1:12" ht="13.5" customHeight="1" x14ac:dyDescent="0.2">
      <c r="A188" s="12"/>
      <c r="B188" s="4"/>
      <c r="C188" s="45" t="s">
        <v>174</v>
      </c>
      <c r="D188" s="4"/>
      <c r="E188" s="1"/>
      <c r="F188" s="51">
        <v>811688855.5</v>
      </c>
      <c r="G188" s="51"/>
      <c r="H188" s="51">
        <v>0</v>
      </c>
      <c r="I188" s="51"/>
      <c r="J188" s="51">
        <v>0</v>
      </c>
      <c r="K188" s="107"/>
      <c r="L188" s="51">
        <v>811688855.5</v>
      </c>
    </row>
    <row r="189" spans="1:12" ht="13.5" customHeight="1" x14ac:dyDescent="0.2">
      <c r="A189" s="12"/>
      <c r="B189" s="4"/>
      <c r="C189" s="45" t="s">
        <v>175</v>
      </c>
      <c r="D189" s="4"/>
      <c r="E189" s="1"/>
      <c r="F189" s="51">
        <v>2837500</v>
      </c>
      <c r="G189" s="51"/>
      <c r="H189" s="51">
        <v>0</v>
      </c>
      <c r="I189" s="51"/>
      <c r="J189" s="51">
        <v>0</v>
      </c>
      <c r="K189" s="107"/>
      <c r="L189" s="51">
        <v>2837500</v>
      </c>
    </row>
    <row r="190" spans="1:12" ht="13.5" customHeight="1" x14ac:dyDescent="0.2">
      <c r="A190" s="12"/>
      <c r="B190" s="47"/>
      <c r="C190" s="48" t="s">
        <v>531</v>
      </c>
      <c r="D190" s="4"/>
      <c r="E190" s="1"/>
      <c r="F190" s="51">
        <v>-2668531.25</v>
      </c>
      <c r="G190" s="51"/>
      <c r="H190" s="51">
        <v>0</v>
      </c>
      <c r="I190" s="51"/>
      <c r="J190" s="51">
        <v>0</v>
      </c>
      <c r="K190" s="107"/>
      <c r="L190" s="51">
        <v>-2668531.25</v>
      </c>
    </row>
    <row r="191" spans="1:12" ht="13.5" customHeight="1" x14ac:dyDescent="0.2">
      <c r="A191" s="12"/>
      <c r="B191" s="47"/>
      <c r="C191" s="48" t="s">
        <v>532</v>
      </c>
      <c r="D191" s="4"/>
      <c r="E191" s="1"/>
      <c r="F191" s="51">
        <v>0</v>
      </c>
      <c r="G191" s="51"/>
      <c r="H191" s="51">
        <v>0</v>
      </c>
      <c r="I191" s="51"/>
      <c r="J191" s="51">
        <v>0</v>
      </c>
      <c r="K191" s="107"/>
      <c r="L191" s="51">
        <v>0</v>
      </c>
    </row>
    <row r="192" spans="1:12" ht="13.5" customHeight="1" x14ac:dyDescent="0.2">
      <c r="A192" s="12"/>
      <c r="B192" s="4"/>
      <c r="C192" s="45" t="s">
        <v>176</v>
      </c>
      <c r="D192" s="4"/>
      <c r="E192" s="1"/>
      <c r="F192" s="51">
        <v>842499712.29999995</v>
      </c>
      <c r="G192" s="51"/>
      <c r="H192" s="51">
        <v>114175206.11000001</v>
      </c>
      <c r="I192" s="51"/>
      <c r="J192" s="51">
        <v>0</v>
      </c>
      <c r="K192" s="107"/>
      <c r="L192" s="51">
        <v>956674918.40999997</v>
      </c>
    </row>
    <row r="193" spans="1:12" ht="13.5" customHeight="1" x14ac:dyDescent="0.2">
      <c r="A193" s="12"/>
      <c r="B193" s="47"/>
      <c r="C193" s="48" t="s">
        <v>533</v>
      </c>
      <c r="D193" s="4"/>
      <c r="E193" s="1"/>
      <c r="F193" s="51">
        <v>-751409365.91999996</v>
      </c>
      <c r="G193" s="51"/>
      <c r="H193" s="51">
        <v>-110453787.29000001</v>
      </c>
      <c r="I193" s="51"/>
      <c r="J193" s="51">
        <v>0</v>
      </c>
      <c r="K193" s="107"/>
      <c r="L193" s="51">
        <v>-861863153.20999992</v>
      </c>
    </row>
    <row r="194" spans="1:12" ht="13.5" customHeight="1" x14ac:dyDescent="0.2">
      <c r="A194" s="12"/>
      <c r="B194" s="47"/>
      <c r="C194" s="48" t="s">
        <v>534</v>
      </c>
      <c r="D194" s="4"/>
      <c r="E194" s="1"/>
      <c r="F194" s="51">
        <v>0</v>
      </c>
      <c r="G194" s="51"/>
      <c r="H194" s="51">
        <v>0</v>
      </c>
      <c r="I194" s="106"/>
      <c r="J194" s="51">
        <v>0</v>
      </c>
      <c r="K194" s="107"/>
      <c r="L194" s="51">
        <v>0</v>
      </c>
    </row>
    <row r="195" spans="1:12" ht="13.5" customHeight="1" x14ac:dyDescent="0.2">
      <c r="A195" s="18"/>
      <c r="B195" s="17" t="s">
        <v>177</v>
      </c>
      <c r="C195" s="31"/>
      <c r="D195" s="17"/>
      <c r="E195" s="17"/>
      <c r="F195" s="108">
        <v>20434122263.620007</v>
      </c>
      <c r="G195" s="108"/>
      <c r="H195" s="108">
        <v>3304395505.4400005</v>
      </c>
      <c r="I195" s="108"/>
      <c r="J195" s="108">
        <v>425422</v>
      </c>
      <c r="K195" s="109"/>
      <c r="L195" s="108">
        <v>23738943191.059982</v>
      </c>
    </row>
    <row r="196" spans="1:12" ht="13.5" customHeight="1" x14ac:dyDescent="0.2">
      <c r="A196" s="12"/>
      <c r="B196" s="10" t="s">
        <v>178</v>
      </c>
      <c r="C196" s="7"/>
      <c r="D196" s="4"/>
      <c r="E196" s="4"/>
      <c r="F196" s="106"/>
      <c r="G196" s="106"/>
      <c r="H196" s="106"/>
      <c r="I196" s="106"/>
      <c r="J196" s="106"/>
      <c r="K196" s="107"/>
      <c r="L196" s="106"/>
    </row>
    <row r="197" spans="1:12" ht="13.5" customHeight="1" x14ac:dyDescent="0.2">
      <c r="A197" s="12"/>
      <c r="C197" s="4" t="s">
        <v>179</v>
      </c>
      <c r="D197" s="4"/>
      <c r="E197" s="4"/>
      <c r="F197" s="51">
        <v>261774835.41</v>
      </c>
      <c r="G197" s="51"/>
      <c r="H197" s="106">
        <v>0</v>
      </c>
      <c r="I197" s="106"/>
      <c r="J197" s="106">
        <v>0</v>
      </c>
      <c r="K197" s="107"/>
      <c r="L197" s="51">
        <v>261774835.41</v>
      </c>
    </row>
    <row r="198" spans="1:12" ht="13.5" customHeight="1" x14ac:dyDescent="0.2">
      <c r="A198" s="12"/>
      <c r="B198" s="47"/>
      <c r="C198" s="48" t="s">
        <v>535</v>
      </c>
      <c r="D198" s="4"/>
      <c r="E198" s="47"/>
      <c r="F198" s="51">
        <v>-83664863.870000005</v>
      </c>
      <c r="G198" s="51"/>
      <c r="H198" s="106">
        <v>0</v>
      </c>
      <c r="I198" s="106"/>
      <c r="J198" s="106">
        <v>0</v>
      </c>
      <c r="K198" s="107"/>
      <c r="L198" s="51">
        <v>-83664863.870000005</v>
      </c>
    </row>
    <row r="199" spans="1:12" ht="13.5" customHeight="1" x14ac:dyDescent="0.2">
      <c r="A199" s="12"/>
      <c r="B199" s="47"/>
      <c r="C199" s="48" t="s">
        <v>536</v>
      </c>
      <c r="D199" s="4"/>
      <c r="E199" s="47"/>
      <c r="F199" s="51">
        <v>0</v>
      </c>
      <c r="G199" s="51"/>
      <c r="H199" s="106">
        <v>0</v>
      </c>
      <c r="I199" s="106"/>
      <c r="J199" s="106">
        <v>0</v>
      </c>
      <c r="K199" s="107"/>
      <c r="L199" s="51">
        <v>0</v>
      </c>
    </row>
    <row r="200" spans="1:12" ht="13.5" customHeight="1" x14ac:dyDescent="0.2">
      <c r="A200" s="12"/>
      <c r="B200" s="4"/>
      <c r="C200" s="48" t="s">
        <v>180</v>
      </c>
      <c r="D200" s="4"/>
      <c r="E200" s="4"/>
      <c r="F200" s="51">
        <v>1768310</v>
      </c>
      <c r="G200" s="51"/>
      <c r="H200" s="106">
        <v>0</v>
      </c>
      <c r="I200" s="106"/>
      <c r="J200" s="106">
        <v>0</v>
      </c>
      <c r="K200" s="107"/>
      <c r="L200" s="51">
        <v>1768310</v>
      </c>
    </row>
    <row r="201" spans="1:12" ht="13.5" customHeight="1" x14ac:dyDescent="0.2">
      <c r="A201" s="12"/>
      <c r="B201" s="47"/>
      <c r="C201" s="49" t="s">
        <v>537</v>
      </c>
      <c r="D201" s="4"/>
      <c r="E201" s="47"/>
      <c r="F201" s="51">
        <v>-1144263.6399999999</v>
      </c>
      <c r="G201" s="51"/>
      <c r="H201" s="106">
        <v>0</v>
      </c>
      <c r="I201" s="106"/>
      <c r="J201" s="106">
        <v>0</v>
      </c>
      <c r="K201" s="107"/>
      <c r="L201" s="51">
        <v>-1144263.6399999999</v>
      </c>
    </row>
    <row r="202" spans="1:12" ht="13.5" customHeight="1" x14ac:dyDescent="0.2">
      <c r="A202" s="12"/>
      <c r="B202" s="47"/>
      <c r="C202" s="48" t="s">
        <v>538</v>
      </c>
      <c r="D202" s="4"/>
      <c r="E202" s="47"/>
      <c r="F202" s="51">
        <v>0</v>
      </c>
      <c r="G202" s="51"/>
      <c r="H202" s="106">
        <v>0</v>
      </c>
      <c r="I202" s="106"/>
      <c r="J202" s="106">
        <v>0</v>
      </c>
      <c r="K202" s="107"/>
      <c r="L202" s="51">
        <v>0</v>
      </c>
    </row>
    <row r="203" spans="1:12" ht="13.5" customHeight="1" x14ac:dyDescent="0.2">
      <c r="A203" s="18"/>
      <c r="B203" s="18" t="s">
        <v>181</v>
      </c>
      <c r="C203" s="17"/>
      <c r="D203" s="17"/>
      <c r="E203" s="17"/>
      <c r="F203" s="108">
        <v>178734017.90000001</v>
      </c>
      <c r="G203" s="108"/>
      <c r="H203" s="108">
        <v>0</v>
      </c>
      <c r="I203" s="108"/>
      <c r="J203" s="108">
        <v>0</v>
      </c>
      <c r="K203" s="109"/>
      <c r="L203" s="72">
        <v>178734017.90000001</v>
      </c>
    </row>
    <row r="204" spans="1:12" ht="13.5" customHeight="1" x14ac:dyDescent="0.2">
      <c r="A204" s="17" t="s">
        <v>9</v>
      </c>
      <c r="B204" s="1"/>
      <c r="C204" s="31"/>
      <c r="D204" s="17"/>
      <c r="E204" s="17"/>
      <c r="F204" s="108">
        <v>21549703638.750008</v>
      </c>
      <c r="G204" s="108"/>
      <c r="H204" s="108">
        <v>3310310328.7100005</v>
      </c>
      <c r="I204" s="108"/>
      <c r="J204" s="108">
        <v>592280.86</v>
      </c>
      <c r="K204" s="109"/>
      <c r="L204" s="112">
        <v>24860606248.319984</v>
      </c>
    </row>
    <row r="205" spans="1:12" ht="13.5" customHeight="1" x14ac:dyDescent="0.2">
      <c r="A205" s="18" t="s">
        <v>182</v>
      </c>
      <c r="B205" s="18"/>
      <c r="C205" s="17"/>
      <c r="D205" s="17"/>
      <c r="E205" s="17"/>
      <c r="F205" s="108">
        <v>46215605861.680008</v>
      </c>
      <c r="G205" s="108"/>
      <c r="H205" s="108">
        <v>6722198394.8299999</v>
      </c>
      <c r="I205" s="108"/>
      <c r="J205" s="108">
        <v>836561571.26999998</v>
      </c>
      <c r="K205" s="109"/>
      <c r="L205" s="112">
        <v>53774365827.779984</v>
      </c>
    </row>
    <row r="206" spans="1:12" ht="13.5" customHeight="1" x14ac:dyDescent="0.2">
      <c r="A206" s="10"/>
      <c r="B206" s="10"/>
      <c r="C206" s="7"/>
      <c r="D206" s="7"/>
      <c r="E206" s="7"/>
      <c r="F206" s="106"/>
      <c r="G206" s="106"/>
      <c r="H206" s="106"/>
      <c r="I206" s="106"/>
      <c r="J206" s="106"/>
      <c r="K206" s="107"/>
      <c r="L206" s="106"/>
    </row>
    <row r="207" spans="1:12" ht="13.5" customHeight="1" x14ac:dyDescent="0.2">
      <c r="A207" s="10" t="s">
        <v>183</v>
      </c>
      <c r="B207" s="10"/>
      <c r="C207" s="7"/>
      <c r="D207" s="7"/>
      <c r="E207" s="7"/>
      <c r="F207" s="106"/>
      <c r="G207" s="106"/>
      <c r="H207" s="106"/>
      <c r="I207" s="106"/>
      <c r="J207" s="106"/>
      <c r="K207" s="107"/>
      <c r="L207" s="106"/>
    </row>
    <row r="208" spans="1:12" ht="13.5" customHeight="1" x14ac:dyDescent="0.2">
      <c r="A208" s="10" t="s">
        <v>184</v>
      </c>
      <c r="B208" s="10"/>
      <c r="C208" s="7"/>
      <c r="D208" s="7"/>
      <c r="E208" s="7"/>
      <c r="F208" s="106"/>
      <c r="G208" s="106"/>
      <c r="H208" s="106"/>
      <c r="I208" s="106"/>
      <c r="J208" s="106"/>
      <c r="K208" s="107"/>
      <c r="L208" s="106"/>
    </row>
    <row r="209" spans="1:12" ht="13.5" customHeight="1" x14ac:dyDescent="0.2">
      <c r="A209" s="10"/>
      <c r="B209" s="10" t="s">
        <v>10</v>
      </c>
      <c r="C209" s="7"/>
      <c r="D209" s="7"/>
      <c r="E209" s="7"/>
      <c r="F209" s="106"/>
      <c r="G209" s="106"/>
      <c r="H209" s="106"/>
      <c r="I209" s="106"/>
      <c r="J209" s="106"/>
      <c r="K209" s="107"/>
      <c r="L209" s="106"/>
    </row>
    <row r="210" spans="1:12" ht="13.5" customHeight="1" x14ac:dyDescent="0.2">
      <c r="A210" s="12"/>
      <c r="B210" s="4"/>
      <c r="C210" s="4" t="s">
        <v>185</v>
      </c>
      <c r="D210" s="4"/>
      <c r="E210" s="1"/>
      <c r="F210" s="51">
        <v>2842068023.3099999</v>
      </c>
      <c r="G210" s="51"/>
      <c r="H210" s="51">
        <v>61367510.780000001</v>
      </c>
      <c r="I210" s="51"/>
      <c r="J210" s="51">
        <v>15146631</v>
      </c>
      <c r="K210" s="107"/>
      <c r="L210" s="106">
        <v>2918582165.0900002</v>
      </c>
    </row>
    <row r="211" spans="1:12" ht="13.5" customHeight="1" x14ac:dyDescent="0.2">
      <c r="A211" s="12"/>
      <c r="B211" s="4"/>
      <c r="C211" s="4" t="s">
        <v>186</v>
      </c>
      <c r="D211" s="4"/>
      <c r="E211" s="1"/>
      <c r="F211" s="51">
        <v>60791691.159999996</v>
      </c>
      <c r="G211" s="51"/>
      <c r="H211" s="51">
        <v>5716135.2300000004</v>
      </c>
      <c r="I211" s="51"/>
      <c r="J211" s="51">
        <v>558624.56999999995</v>
      </c>
      <c r="K211" s="107"/>
      <c r="L211" s="106">
        <v>67066450.960000001</v>
      </c>
    </row>
    <row r="212" spans="1:12" ht="13.5" customHeight="1" x14ac:dyDescent="0.2">
      <c r="A212" s="50"/>
      <c r="B212" s="17" t="s">
        <v>187</v>
      </c>
      <c r="C212" s="46"/>
      <c r="D212" s="31"/>
      <c r="E212" s="17"/>
      <c r="F212" s="108">
        <v>2902859714.4699998</v>
      </c>
      <c r="G212" s="108"/>
      <c r="H212" s="108">
        <v>67083646.010000005</v>
      </c>
      <c r="I212" s="108"/>
      <c r="J212" s="108">
        <v>15705255.57</v>
      </c>
      <c r="K212" s="109"/>
      <c r="L212" s="108">
        <v>2985648616.0500002</v>
      </c>
    </row>
    <row r="213" spans="1:12" ht="13.5" customHeight="1" x14ac:dyDescent="0.2">
      <c r="A213" s="12"/>
      <c r="B213" s="7" t="s">
        <v>11</v>
      </c>
      <c r="C213" s="4"/>
      <c r="D213" s="1"/>
      <c r="E213" s="4"/>
      <c r="F213" s="106"/>
      <c r="G213" s="106"/>
      <c r="H213" s="106"/>
      <c r="I213" s="106"/>
      <c r="J213" s="106"/>
      <c r="K213" s="107"/>
      <c r="L213" s="106"/>
    </row>
    <row r="214" spans="1:12" ht="13.5" customHeight="1" x14ac:dyDescent="0.2">
      <c r="A214" s="10"/>
      <c r="B214" s="4"/>
      <c r="C214" s="4" t="s">
        <v>188</v>
      </c>
      <c r="D214" s="7"/>
      <c r="E214" s="1"/>
      <c r="F214" s="51">
        <v>59359481.920000002</v>
      </c>
      <c r="G214" s="51"/>
      <c r="H214" s="51">
        <v>1450776.21</v>
      </c>
      <c r="I214" s="51"/>
      <c r="J214" s="51">
        <v>18480.64</v>
      </c>
      <c r="K214" s="107"/>
      <c r="L214" s="106">
        <v>60828738.770000003</v>
      </c>
    </row>
    <row r="215" spans="1:12" ht="13.5" customHeight="1" x14ac:dyDescent="0.2">
      <c r="A215" s="10"/>
      <c r="B215" s="4"/>
      <c r="C215" s="4" t="s">
        <v>189</v>
      </c>
      <c r="D215" s="10"/>
      <c r="E215" s="1"/>
      <c r="F215" s="51">
        <v>67075350.32</v>
      </c>
      <c r="G215" s="51"/>
      <c r="H215" s="51">
        <v>2443073.7999999998</v>
      </c>
      <c r="I215" s="51"/>
      <c r="J215" s="51">
        <v>0</v>
      </c>
      <c r="K215" s="107"/>
      <c r="L215" s="106">
        <v>69518424.120000005</v>
      </c>
    </row>
    <row r="216" spans="1:12" ht="13.5" customHeight="1" x14ac:dyDescent="0.2">
      <c r="A216" s="12"/>
      <c r="B216" s="4"/>
      <c r="C216" s="4" t="s">
        <v>190</v>
      </c>
      <c r="D216" s="4"/>
      <c r="E216" s="1"/>
      <c r="F216" s="51">
        <v>9213863.5399999991</v>
      </c>
      <c r="G216" s="51"/>
      <c r="H216" s="51">
        <v>322801.09000000003</v>
      </c>
      <c r="I216" s="51"/>
      <c r="J216" s="51">
        <v>0</v>
      </c>
      <c r="K216" s="107"/>
      <c r="L216" s="106">
        <v>9536664.629999999</v>
      </c>
    </row>
    <row r="217" spans="1:12" ht="13.5" customHeight="1" x14ac:dyDescent="0.2">
      <c r="A217" s="12"/>
      <c r="B217" s="4"/>
      <c r="C217" s="4" t="s">
        <v>191</v>
      </c>
      <c r="D217" s="4"/>
      <c r="E217" s="1"/>
      <c r="F217" s="51">
        <v>9968858.5600000005</v>
      </c>
      <c r="G217" s="51"/>
      <c r="H217" s="51">
        <v>1288817.96</v>
      </c>
      <c r="I217" s="51"/>
      <c r="J217" s="51"/>
      <c r="K217" s="107"/>
      <c r="L217" s="106">
        <v>11257676.52</v>
      </c>
    </row>
    <row r="218" spans="1:12" ht="13.5" customHeight="1" x14ac:dyDescent="0.2">
      <c r="A218" s="12"/>
      <c r="B218" s="4"/>
      <c r="C218" s="4" t="s">
        <v>192</v>
      </c>
      <c r="D218" s="4"/>
      <c r="E218" s="1"/>
      <c r="F218" s="51">
        <v>39210750.840000004</v>
      </c>
      <c r="G218" s="51"/>
      <c r="H218" s="51">
        <v>0</v>
      </c>
      <c r="I218" s="51"/>
      <c r="J218" s="51">
        <v>132545701.53</v>
      </c>
      <c r="K218" s="107"/>
      <c r="L218" s="106">
        <v>171756452.37</v>
      </c>
    </row>
    <row r="219" spans="1:12" ht="13.5" customHeight="1" x14ac:dyDescent="0.2">
      <c r="A219" s="12"/>
      <c r="B219" s="4"/>
      <c r="C219" s="4" t="s">
        <v>193</v>
      </c>
      <c r="D219" s="4"/>
      <c r="E219" s="1"/>
      <c r="F219" s="51">
        <v>11267991.689999999</v>
      </c>
      <c r="G219" s="51"/>
      <c r="H219" s="51">
        <v>0</v>
      </c>
      <c r="I219" s="51"/>
      <c r="J219" s="51">
        <v>52733523.82</v>
      </c>
      <c r="K219" s="107"/>
      <c r="L219" s="106">
        <v>64001515.509999998</v>
      </c>
    </row>
    <row r="220" spans="1:12" ht="13.5" customHeight="1" x14ac:dyDescent="0.2">
      <c r="A220" s="12"/>
      <c r="B220" s="4"/>
      <c r="C220" s="4" t="s">
        <v>194</v>
      </c>
      <c r="D220" s="4"/>
      <c r="E220" s="1"/>
      <c r="F220" s="51">
        <v>307544825.19999999</v>
      </c>
      <c r="G220" s="51"/>
      <c r="H220" s="51"/>
      <c r="I220" s="51"/>
      <c r="J220" s="51"/>
      <c r="K220" s="107"/>
      <c r="L220" s="106">
        <v>307544825.19999999</v>
      </c>
    </row>
    <row r="221" spans="1:12" ht="13.5" customHeight="1" x14ac:dyDescent="0.2">
      <c r="A221" s="50"/>
      <c r="B221" s="17" t="s">
        <v>195</v>
      </c>
      <c r="C221" s="46"/>
      <c r="D221" s="31"/>
      <c r="E221" s="46"/>
      <c r="F221" s="108">
        <v>503641122.06999999</v>
      </c>
      <c r="G221" s="108"/>
      <c r="H221" s="108">
        <v>5505469.0599999996</v>
      </c>
      <c r="I221" s="108"/>
      <c r="J221" s="108">
        <v>185297705.99000001</v>
      </c>
      <c r="K221" s="109"/>
      <c r="L221" s="108">
        <v>694444297.12</v>
      </c>
    </row>
    <row r="222" spans="1:12" ht="13.5" customHeight="1" x14ac:dyDescent="0.2">
      <c r="A222" s="12"/>
      <c r="B222" s="7" t="s">
        <v>12</v>
      </c>
      <c r="C222" s="7"/>
      <c r="D222" s="1"/>
      <c r="E222" s="4"/>
      <c r="F222" s="106"/>
      <c r="G222" s="106"/>
      <c r="H222" s="106"/>
      <c r="I222" s="106"/>
      <c r="J222" s="106"/>
      <c r="K222" s="107"/>
      <c r="L222" s="106"/>
    </row>
    <row r="223" spans="1:12" ht="13.5" customHeight="1" x14ac:dyDescent="0.2">
      <c r="A223" s="12"/>
      <c r="B223" s="4"/>
      <c r="C223" s="4" t="s">
        <v>196</v>
      </c>
      <c r="D223" s="7"/>
      <c r="E223" s="4"/>
      <c r="F223" s="51">
        <v>651506253.58000004</v>
      </c>
      <c r="G223" s="51"/>
      <c r="H223" s="51">
        <v>631035.23</v>
      </c>
      <c r="I223" s="51"/>
      <c r="J223" s="51">
        <v>5695083.1200000001</v>
      </c>
      <c r="K223" s="107"/>
      <c r="L223" s="106">
        <v>657832371.93000007</v>
      </c>
    </row>
    <row r="224" spans="1:12" ht="13.5" customHeight="1" x14ac:dyDescent="0.2">
      <c r="A224" s="50"/>
      <c r="B224" s="17" t="s">
        <v>197</v>
      </c>
      <c r="C224" s="17"/>
      <c r="D224" s="31"/>
      <c r="E224" s="46"/>
      <c r="F224" s="108">
        <v>651506253.58000004</v>
      </c>
      <c r="G224" s="108"/>
      <c r="H224" s="108">
        <v>631035.23</v>
      </c>
      <c r="I224" s="108"/>
      <c r="J224" s="108">
        <v>5695083.1200000001</v>
      </c>
      <c r="K224" s="109"/>
      <c r="L224" s="108">
        <v>657832371.93000007</v>
      </c>
    </row>
    <row r="225" spans="1:12" ht="13.5" customHeight="1" x14ac:dyDescent="0.2">
      <c r="A225" s="12"/>
      <c r="B225" s="7" t="s">
        <v>13</v>
      </c>
      <c r="C225" s="7"/>
      <c r="D225" s="1"/>
      <c r="E225" s="4"/>
      <c r="F225" s="106"/>
      <c r="G225" s="106"/>
      <c r="H225" s="106"/>
      <c r="I225" s="106"/>
      <c r="J225" s="106"/>
      <c r="K225" s="107"/>
      <c r="L225" s="106"/>
    </row>
    <row r="226" spans="1:12" ht="13.5" customHeight="1" x14ac:dyDescent="0.2">
      <c r="A226" s="12"/>
      <c r="B226" s="4"/>
      <c r="C226" s="4" t="s">
        <v>13</v>
      </c>
      <c r="D226" s="7"/>
      <c r="E226" s="1"/>
      <c r="F226" s="51">
        <v>486502681.72000003</v>
      </c>
      <c r="G226" s="51"/>
      <c r="H226" s="51">
        <v>0</v>
      </c>
      <c r="I226" s="51"/>
      <c r="J226" s="51">
        <v>8440178.5999999996</v>
      </c>
      <c r="K226" s="107"/>
      <c r="L226" s="106">
        <v>494942860.32000005</v>
      </c>
    </row>
    <row r="227" spans="1:12" ht="13.5" customHeight="1" x14ac:dyDescent="0.2">
      <c r="A227" s="12"/>
      <c r="B227" s="4"/>
      <c r="C227" s="4" t="s">
        <v>198</v>
      </c>
      <c r="D227" s="7"/>
      <c r="E227" s="1"/>
      <c r="F227" s="51">
        <v>0</v>
      </c>
      <c r="G227" s="51"/>
      <c r="H227" s="51">
        <v>0</v>
      </c>
      <c r="I227" s="51"/>
      <c r="J227" s="51">
        <v>575915541.21000004</v>
      </c>
      <c r="K227" s="107"/>
      <c r="L227" s="106">
        <v>575915541.21000004</v>
      </c>
    </row>
    <row r="228" spans="1:12" ht="13.5" customHeight="1" x14ac:dyDescent="0.2">
      <c r="A228" s="12"/>
      <c r="B228" s="4"/>
      <c r="C228" s="4" t="s">
        <v>199</v>
      </c>
      <c r="D228" s="7"/>
      <c r="E228" s="1"/>
      <c r="F228" s="51">
        <v>48623.99</v>
      </c>
      <c r="G228" s="51"/>
      <c r="H228" s="51">
        <v>0</v>
      </c>
      <c r="I228" s="51"/>
      <c r="J228" s="51">
        <v>4098877.13</v>
      </c>
      <c r="K228" s="107"/>
      <c r="L228" s="106">
        <v>4147501.12</v>
      </c>
    </row>
    <row r="229" spans="1:12" ht="13.5" customHeight="1" x14ac:dyDescent="0.2">
      <c r="A229" s="12"/>
      <c r="B229" s="4"/>
      <c r="C229" s="4" t="s">
        <v>200</v>
      </c>
      <c r="D229" s="7"/>
      <c r="E229" s="1"/>
      <c r="F229" s="51">
        <v>193991639.09</v>
      </c>
      <c r="G229" s="51"/>
      <c r="H229" s="51">
        <v>13090062.32</v>
      </c>
      <c r="I229" s="51"/>
      <c r="J229" s="51">
        <v>41042638</v>
      </c>
      <c r="K229" s="107"/>
      <c r="L229" s="106">
        <v>248124339.41</v>
      </c>
    </row>
    <row r="230" spans="1:12" ht="13.5" customHeight="1" x14ac:dyDescent="0.2">
      <c r="A230" s="50"/>
      <c r="B230" s="17" t="s">
        <v>201</v>
      </c>
      <c r="C230" s="17"/>
      <c r="D230" s="31"/>
      <c r="E230" s="46"/>
      <c r="F230" s="108">
        <v>680542944.80000007</v>
      </c>
      <c r="G230" s="108"/>
      <c r="H230" s="108">
        <v>13090062.32</v>
      </c>
      <c r="I230" s="108"/>
      <c r="J230" s="108">
        <v>629497234.94000006</v>
      </c>
      <c r="K230" s="109"/>
      <c r="L230" s="108">
        <v>1323130242.0600002</v>
      </c>
    </row>
    <row r="231" spans="1:12" ht="13.5" customHeight="1" x14ac:dyDescent="0.2">
      <c r="A231" s="12"/>
      <c r="B231" s="7" t="s">
        <v>14</v>
      </c>
      <c r="C231" s="7"/>
      <c r="D231" s="1"/>
      <c r="E231" s="4"/>
      <c r="F231" s="106"/>
      <c r="G231" s="106"/>
      <c r="H231" s="106"/>
      <c r="I231" s="106"/>
      <c r="J231" s="106"/>
      <c r="K231" s="107"/>
      <c r="L231" s="106"/>
    </row>
    <row r="232" spans="1:12" ht="13.5" customHeight="1" x14ac:dyDescent="0.2">
      <c r="A232" s="12"/>
      <c r="B232" s="4"/>
      <c r="C232" s="4" t="s">
        <v>202</v>
      </c>
      <c r="D232" s="7"/>
      <c r="E232" s="1"/>
      <c r="F232" s="51">
        <v>210318919.53</v>
      </c>
      <c r="G232" s="51"/>
      <c r="H232" s="51">
        <v>0</v>
      </c>
      <c r="I232" s="51"/>
      <c r="J232" s="51">
        <v>0</v>
      </c>
      <c r="K232" s="107"/>
      <c r="L232" s="106">
        <v>210318919.53</v>
      </c>
    </row>
    <row r="233" spans="1:12" ht="13.5" customHeight="1" x14ac:dyDescent="0.2">
      <c r="A233" s="12"/>
      <c r="B233" s="4"/>
      <c r="C233" s="4" t="s">
        <v>203</v>
      </c>
      <c r="D233" s="7"/>
      <c r="E233" s="1"/>
      <c r="F233" s="51">
        <v>0</v>
      </c>
      <c r="G233" s="51"/>
      <c r="H233" s="51">
        <v>102996506.48999999</v>
      </c>
      <c r="I233" s="51"/>
      <c r="J233" s="51">
        <v>0</v>
      </c>
      <c r="K233" s="107"/>
      <c r="L233" s="106">
        <v>102996506.48999999</v>
      </c>
    </row>
    <row r="234" spans="1:12" ht="13.5" hidden="1" customHeight="1" x14ac:dyDescent="0.2">
      <c r="A234" s="12"/>
      <c r="B234" s="4"/>
      <c r="C234" s="4" t="s">
        <v>204</v>
      </c>
      <c r="D234" s="7"/>
      <c r="E234" s="1"/>
      <c r="F234" s="51">
        <v>0</v>
      </c>
      <c r="G234" s="51"/>
      <c r="H234" s="51">
        <v>0</v>
      </c>
      <c r="I234" s="51"/>
      <c r="J234" s="51">
        <v>0</v>
      </c>
      <c r="K234" s="107"/>
      <c r="L234" s="106">
        <v>0</v>
      </c>
    </row>
    <row r="235" spans="1:12" ht="13.5" customHeight="1" x14ac:dyDescent="0.2">
      <c r="A235" s="12"/>
      <c r="B235" s="4"/>
      <c r="C235" s="4" t="s">
        <v>205</v>
      </c>
      <c r="D235" s="7"/>
      <c r="E235" s="1"/>
      <c r="F235" s="51">
        <v>1307385696.02</v>
      </c>
      <c r="G235" s="51"/>
      <c r="H235" s="51">
        <v>705393714.79999995</v>
      </c>
      <c r="I235" s="51"/>
      <c r="J235" s="51">
        <v>0</v>
      </c>
      <c r="K235" s="107"/>
      <c r="L235" s="106">
        <v>2012779410.8199999</v>
      </c>
    </row>
    <row r="236" spans="1:12" ht="13.5" customHeight="1" x14ac:dyDescent="0.2">
      <c r="A236" s="50"/>
      <c r="B236" s="17" t="s">
        <v>206</v>
      </c>
      <c r="C236" s="17"/>
      <c r="D236" s="31"/>
      <c r="E236" s="46"/>
      <c r="F236" s="108">
        <v>1517704615.55</v>
      </c>
      <c r="G236" s="108"/>
      <c r="H236" s="108">
        <v>808390221.28999996</v>
      </c>
      <c r="I236" s="108"/>
      <c r="J236" s="108">
        <v>0</v>
      </c>
      <c r="K236" s="109"/>
      <c r="L236" s="108">
        <v>2326094836.8400002</v>
      </c>
    </row>
    <row r="237" spans="1:12" ht="13.5" customHeight="1" x14ac:dyDescent="0.2">
      <c r="A237" s="52"/>
      <c r="B237" s="53" t="s">
        <v>15</v>
      </c>
      <c r="C237" s="54"/>
      <c r="D237" s="55"/>
      <c r="E237" s="54"/>
      <c r="F237" s="113"/>
      <c r="G237" s="113"/>
      <c r="H237" s="113"/>
      <c r="I237" s="113"/>
      <c r="J237" s="113"/>
      <c r="K237" s="114"/>
      <c r="L237" s="115"/>
    </row>
    <row r="238" spans="1:12" ht="13.5" customHeight="1" x14ac:dyDescent="0.2">
      <c r="A238" s="34"/>
      <c r="B238" s="34"/>
      <c r="C238" s="2" t="s">
        <v>15</v>
      </c>
      <c r="D238" s="38"/>
      <c r="E238" s="33"/>
      <c r="F238" s="116">
        <v>85127086.760000005</v>
      </c>
      <c r="G238" s="116"/>
      <c r="H238" s="116">
        <v>70967.210000000006</v>
      </c>
      <c r="I238" s="116"/>
      <c r="J238" s="116">
        <v>366291.65</v>
      </c>
      <c r="K238" s="117"/>
      <c r="L238" s="116">
        <v>85564345.620000005</v>
      </c>
    </row>
    <row r="239" spans="1:12" ht="13.5" customHeight="1" x14ac:dyDescent="0.2">
      <c r="A239" s="34"/>
      <c r="B239" s="17" t="s">
        <v>207</v>
      </c>
      <c r="C239" s="2"/>
      <c r="D239" s="38"/>
      <c r="E239" s="33"/>
      <c r="F239" s="118">
        <v>85127086.760000005</v>
      </c>
      <c r="G239" s="118">
        <v>0</v>
      </c>
      <c r="H239" s="118">
        <v>70967.210000000006</v>
      </c>
      <c r="I239" s="118">
        <v>0</v>
      </c>
      <c r="J239" s="118">
        <v>366291.65</v>
      </c>
      <c r="K239" s="118">
        <v>0</v>
      </c>
      <c r="L239" s="118">
        <v>85564345.620000005</v>
      </c>
    </row>
    <row r="240" spans="1:12" ht="13.5" customHeight="1" x14ac:dyDescent="0.2">
      <c r="A240" s="18" t="s">
        <v>16</v>
      </c>
      <c r="B240" s="18"/>
      <c r="C240" s="18"/>
      <c r="D240" s="17"/>
      <c r="E240" s="17"/>
      <c r="F240" s="108">
        <v>6341381737.2300005</v>
      </c>
      <c r="G240" s="108"/>
      <c r="H240" s="108">
        <v>894771401.12</v>
      </c>
      <c r="I240" s="108"/>
      <c r="J240" s="108">
        <v>836561571.2700001</v>
      </c>
      <c r="K240" s="109"/>
      <c r="L240" s="108">
        <v>8072714709.6200008</v>
      </c>
    </row>
    <row r="241" spans="1:12" ht="13.5" customHeight="1" x14ac:dyDescent="0.2">
      <c r="A241" s="10"/>
      <c r="B241" s="10"/>
      <c r="C241" s="10"/>
      <c r="D241" s="7"/>
      <c r="E241" s="7"/>
      <c r="F241" s="110"/>
      <c r="G241" s="110"/>
      <c r="H241" s="110"/>
      <c r="I241" s="110"/>
      <c r="J241" s="110"/>
      <c r="K241" s="107"/>
      <c r="L241" s="110"/>
    </row>
    <row r="242" spans="1:12" ht="13.5" customHeight="1" x14ac:dyDescent="0.2">
      <c r="A242" s="10" t="s">
        <v>208</v>
      </c>
      <c r="B242" s="1"/>
      <c r="C242" s="7"/>
      <c r="D242" s="7"/>
      <c r="E242" s="4"/>
      <c r="F242" s="106"/>
      <c r="G242" s="106"/>
      <c r="H242" s="106"/>
      <c r="I242" s="106"/>
      <c r="J242" s="106"/>
      <c r="K242" s="107"/>
      <c r="L242" s="106"/>
    </row>
    <row r="243" spans="1:12" ht="13.5" customHeight="1" x14ac:dyDescent="0.2">
      <c r="A243" s="12"/>
      <c r="B243" s="7" t="s">
        <v>14</v>
      </c>
      <c r="C243" s="4"/>
      <c r="D243" s="1"/>
      <c r="E243" s="7"/>
      <c r="F243" s="106"/>
      <c r="G243" s="106"/>
      <c r="H243" s="106"/>
      <c r="I243" s="106"/>
      <c r="J243" s="106"/>
      <c r="K243" s="107"/>
      <c r="L243" s="106"/>
    </row>
    <row r="244" spans="1:12" ht="13.5" customHeight="1" x14ac:dyDescent="0.2">
      <c r="A244" s="34"/>
      <c r="B244" s="2"/>
      <c r="C244" s="2" t="s">
        <v>205</v>
      </c>
      <c r="D244" s="38"/>
      <c r="E244" s="33"/>
      <c r="F244" s="116">
        <v>3527574.75</v>
      </c>
      <c r="G244" s="116"/>
      <c r="H244" s="116">
        <v>2233734.04</v>
      </c>
      <c r="I244" s="116"/>
      <c r="J244" s="116">
        <v>0</v>
      </c>
      <c r="K244" s="117"/>
      <c r="L244" s="116">
        <v>5761308.79</v>
      </c>
    </row>
    <row r="245" spans="1:12" ht="13.5" hidden="1" customHeight="1" x14ac:dyDescent="0.2">
      <c r="A245" s="12"/>
      <c r="B245" s="7" t="s">
        <v>15</v>
      </c>
      <c r="C245" s="4"/>
      <c r="D245" s="7"/>
      <c r="E245" s="1"/>
      <c r="F245" s="106"/>
      <c r="G245" s="106"/>
      <c r="H245" s="106"/>
      <c r="I245" s="106"/>
      <c r="J245" s="106"/>
      <c r="K245" s="107"/>
      <c r="L245" s="106"/>
    </row>
    <row r="246" spans="1:12" ht="13.5" hidden="1" customHeight="1" x14ac:dyDescent="0.2">
      <c r="A246" s="12"/>
      <c r="B246" s="12"/>
      <c r="C246" s="4" t="s">
        <v>15</v>
      </c>
      <c r="D246" s="7"/>
      <c r="E246" s="1"/>
      <c r="F246" s="106">
        <v>0</v>
      </c>
      <c r="G246" s="106"/>
      <c r="H246" s="106">
        <v>0</v>
      </c>
      <c r="I246" s="106"/>
      <c r="J246" s="106">
        <v>0</v>
      </c>
      <c r="K246" s="107"/>
      <c r="L246" s="116">
        <v>0</v>
      </c>
    </row>
    <row r="247" spans="1:12" ht="13.5" customHeight="1" x14ac:dyDescent="0.2">
      <c r="A247" s="18" t="s">
        <v>17</v>
      </c>
      <c r="B247" s="18"/>
      <c r="C247" s="18"/>
      <c r="D247" s="17"/>
      <c r="E247" s="17"/>
      <c r="F247" s="108">
        <v>3527574.75</v>
      </c>
      <c r="G247" s="108"/>
      <c r="H247" s="108">
        <v>2233734.04</v>
      </c>
      <c r="I247" s="108"/>
      <c r="J247" s="108">
        <v>0</v>
      </c>
      <c r="K247" s="109"/>
      <c r="L247" s="108">
        <v>5761308.79</v>
      </c>
    </row>
    <row r="248" spans="1:12" ht="13.5" customHeight="1" x14ac:dyDescent="0.2">
      <c r="A248" s="18" t="s">
        <v>209</v>
      </c>
      <c r="B248" s="18"/>
      <c r="C248" s="18"/>
      <c r="D248" s="17"/>
      <c r="E248" s="17"/>
      <c r="F248" s="108">
        <v>6344909311.9800005</v>
      </c>
      <c r="G248" s="108"/>
      <c r="H248" s="108">
        <v>897005135.15999997</v>
      </c>
      <c r="I248" s="108"/>
      <c r="J248" s="108">
        <v>836561571.2700001</v>
      </c>
      <c r="K248" s="109"/>
      <c r="L248" s="108">
        <v>8078476018.4100008</v>
      </c>
    </row>
    <row r="249" spans="1:12" ht="13.5" customHeight="1" x14ac:dyDescent="0.2">
      <c r="A249" s="10"/>
      <c r="B249" s="10"/>
      <c r="C249" s="10"/>
      <c r="D249" s="7"/>
      <c r="E249" s="7"/>
      <c r="F249" s="110"/>
      <c r="G249" s="110"/>
      <c r="H249" s="110"/>
      <c r="I249" s="110"/>
      <c r="J249" s="110"/>
      <c r="K249" s="107"/>
      <c r="L249" s="106"/>
    </row>
    <row r="250" spans="1:12" ht="13.5" customHeight="1" x14ac:dyDescent="0.2">
      <c r="A250" s="10" t="s">
        <v>18</v>
      </c>
      <c r="B250" s="1"/>
      <c r="C250" s="7"/>
      <c r="D250" s="7"/>
      <c r="E250" s="4"/>
      <c r="F250" s="106"/>
      <c r="G250" s="106"/>
      <c r="H250" s="106"/>
      <c r="I250" s="106"/>
      <c r="J250" s="106"/>
      <c r="K250" s="107"/>
      <c r="L250" s="106"/>
    </row>
    <row r="251" spans="1:12" ht="13.5" customHeight="1" x14ac:dyDescent="0.2">
      <c r="A251" s="12"/>
      <c r="B251" s="4"/>
      <c r="C251" s="4" t="s">
        <v>210</v>
      </c>
      <c r="D251" s="4"/>
      <c r="E251" s="4"/>
      <c r="F251" s="51">
        <v>39870696549.700005</v>
      </c>
      <c r="G251" s="51"/>
      <c r="H251" s="51">
        <v>5825193259.6700001</v>
      </c>
      <c r="I251" s="51"/>
      <c r="J251" s="106">
        <v>0</v>
      </c>
      <c r="K251" s="107"/>
      <c r="L251" s="106">
        <v>45695889809.370003</v>
      </c>
    </row>
    <row r="252" spans="1:12" ht="13.5" customHeight="1" x14ac:dyDescent="0.2">
      <c r="A252" s="17" t="s">
        <v>211</v>
      </c>
      <c r="B252" s="31"/>
      <c r="C252" s="31"/>
      <c r="D252" s="17"/>
      <c r="E252" s="17"/>
      <c r="F252" s="108">
        <v>39870696549.700005</v>
      </c>
      <c r="G252" s="108"/>
      <c r="H252" s="108">
        <v>5825193259.6700001</v>
      </c>
      <c r="I252" s="108"/>
      <c r="J252" s="108">
        <v>0</v>
      </c>
      <c r="K252" s="109"/>
      <c r="L252" s="108">
        <v>45695889809.370003</v>
      </c>
    </row>
    <row r="253" spans="1:12" ht="13.5" customHeight="1" x14ac:dyDescent="0.2">
      <c r="A253" s="17" t="s">
        <v>212</v>
      </c>
      <c r="B253" s="18"/>
      <c r="C253" s="17"/>
      <c r="D253" s="17"/>
      <c r="E253" s="17"/>
      <c r="F253" s="108">
        <v>46215605861.680008</v>
      </c>
      <c r="G253" s="108"/>
      <c r="H253" s="108">
        <v>6722198394.8299999</v>
      </c>
      <c r="I253" s="108"/>
      <c r="J253" s="108">
        <v>836561571.2700001</v>
      </c>
      <c r="K253" s="109"/>
      <c r="L253" s="108">
        <v>53774365827.780006</v>
      </c>
    </row>
    <row r="254" spans="1:12" ht="13.5" customHeight="1" x14ac:dyDescent="0.2">
      <c r="A254" s="7"/>
      <c r="B254" s="10"/>
      <c r="C254" s="7"/>
      <c r="D254" s="7"/>
      <c r="E254" s="7"/>
      <c r="F254" s="110"/>
      <c r="G254" s="110"/>
      <c r="H254" s="110"/>
      <c r="I254" s="110"/>
      <c r="J254" s="110"/>
      <c r="K254" s="107"/>
      <c r="L254" s="106"/>
    </row>
    <row r="255" spans="1:12" ht="13.5" customHeight="1" x14ac:dyDescent="0.2">
      <c r="A255" s="130" t="s">
        <v>213</v>
      </c>
      <c r="B255" s="126"/>
      <c r="C255" s="126"/>
      <c r="D255" s="126"/>
      <c r="E255" s="126"/>
      <c r="F255" s="126"/>
      <c r="G255" s="126"/>
      <c r="H255" s="126"/>
      <c r="I255" s="126"/>
      <c r="J255" s="126"/>
      <c r="K255" s="107"/>
      <c r="L255" s="106"/>
    </row>
    <row r="256" spans="1:12" ht="13.5" customHeight="1" x14ac:dyDescent="0.2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07"/>
      <c r="L256" s="106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</sheetData>
  <sheetProtection algorithmName="SHA-512" hashValue="/7fDp9aosrr8hkj546rlcHmJTtFINSPBgdqInhfNb+Wz1q14Mb5p7VBVZJ74mABAyE4O0DFSgVo/A4dtKBaIiw==" saltValue="4QqwoaqsPtAhviZlQJBNKA==" spinCount="100000" sheet="1" objects="1" scenarios="1" selectLockedCells="1" selectUnlockedCells="1"/>
  <mergeCells count="5">
    <mergeCell ref="A2:L2"/>
    <mergeCell ref="A3:L3"/>
    <mergeCell ref="A4:L4"/>
    <mergeCell ref="A5:L5"/>
    <mergeCell ref="A255:J256"/>
  </mergeCells>
  <pageMargins left="0.70866141732283472" right="0.70866141732283472" top="0.74803149606299213" bottom="0.74803149606299213" header="0" footer="0"/>
  <pageSetup scale="88" fitToHeight="0" orientation="landscape" r:id="rId1"/>
  <headerFooter>
    <oddHeader>&amp;R&amp;"Arial,Bold"&amp;11ANNEX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847"/>
  <sheetViews>
    <sheetView showGridLines="0" zoomScaleNormal="100" zoomScaleSheetLayoutView="100" workbookViewId="0">
      <selection activeCell="A2" sqref="A2:L2"/>
    </sheetView>
  </sheetViews>
  <sheetFormatPr defaultColWidth="14.42578125" defaultRowHeight="15" customHeight="1" x14ac:dyDescent="0.2"/>
  <cols>
    <col min="1" max="1" width="2" customWidth="1"/>
    <col min="2" max="2" width="2.140625" customWidth="1"/>
    <col min="3" max="3" width="1.85546875" customWidth="1"/>
    <col min="4" max="4" width="67.7109375" customWidth="1"/>
    <col min="5" max="5" width="1.28515625" customWidth="1"/>
    <col min="6" max="6" width="22" customWidth="1"/>
    <col min="7" max="7" width="1.7109375" customWidth="1"/>
    <col min="8" max="8" width="22" customWidth="1"/>
    <col min="9" max="9" width="1.7109375" customWidth="1"/>
    <col min="10" max="10" width="22" customWidth="1"/>
    <col min="11" max="11" width="1.7109375" customWidth="1"/>
    <col min="12" max="12" width="22" customWidth="1"/>
  </cols>
  <sheetData>
    <row r="1" spans="1:12" ht="13.5" customHeight="1" x14ac:dyDescent="0.2">
      <c r="A1" s="1"/>
      <c r="B1" s="1"/>
      <c r="C1" s="1"/>
      <c r="D1" s="1"/>
      <c r="E1" s="1"/>
      <c r="F1" s="106"/>
      <c r="G1" s="106"/>
      <c r="H1" s="106"/>
      <c r="I1" s="106"/>
      <c r="J1" s="106"/>
      <c r="K1" s="106"/>
      <c r="L1" s="119"/>
    </row>
    <row r="2" spans="1:12" ht="13.5" customHeight="1" x14ac:dyDescent="0.25">
      <c r="A2" s="131" t="s">
        <v>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2" ht="13.5" customHeight="1" x14ac:dyDescent="0.25">
      <c r="A3" s="131" t="s">
        <v>214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</row>
    <row r="4" spans="1:12" ht="13.5" customHeight="1" x14ac:dyDescent="0.25">
      <c r="A4" s="131" t="s">
        <v>19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</row>
    <row r="5" spans="1:12" ht="13.5" customHeight="1" x14ac:dyDescent="0.2">
      <c r="A5" s="132" t="s">
        <v>2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13.5" customHeight="1" x14ac:dyDescent="0.2">
      <c r="A6" s="1"/>
      <c r="B6" s="1"/>
      <c r="C6" s="1"/>
      <c r="D6" s="1"/>
      <c r="E6" s="1"/>
      <c r="F6" s="106"/>
      <c r="G6" s="106"/>
      <c r="H6" s="106"/>
      <c r="I6" s="106"/>
      <c r="J6" s="106"/>
      <c r="K6" s="106"/>
      <c r="L6" s="106"/>
    </row>
    <row r="7" spans="1:12" ht="29.45" customHeight="1" x14ac:dyDescent="0.2">
      <c r="A7" s="33"/>
      <c r="B7" s="33"/>
      <c r="C7" s="33"/>
      <c r="D7" s="33"/>
      <c r="E7" s="33"/>
      <c r="F7" s="122" t="s">
        <v>72</v>
      </c>
      <c r="G7" s="122"/>
      <c r="H7" s="122" t="s">
        <v>73</v>
      </c>
      <c r="I7" s="122"/>
      <c r="J7" s="123" t="s">
        <v>74</v>
      </c>
      <c r="K7" s="122"/>
      <c r="L7" s="122" t="s">
        <v>75</v>
      </c>
    </row>
    <row r="8" spans="1:12" ht="13.5" customHeight="1" x14ac:dyDescent="0.2">
      <c r="A8" s="10" t="s">
        <v>42</v>
      </c>
      <c r="B8" s="8"/>
      <c r="C8" s="8"/>
      <c r="D8" s="8"/>
      <c r="E8" s="8"/>
      <c r="F8" s="106"/>
      <c r="G8" s="106"/>
      <c r="H8" s="106"/>
      <c r="I8" s="106"/>
      <c r="J8" s="106"/>
      <c r="K8" s="106"/>
      <c r="L8" s="106"/>
    </row>
    <row r="9" spans="1:12" ht="13.5" customHeight="1" x14ac:dyDescent="0.25">
      <c r="A9" s="11"/>
      <c r="B9" s="10" t="s">
        <v>215</v>
      </c>
      <c r="C9" s="11"/>
      <c r="D9" s="11"/>
      <c r="E9" s="1"/>
      <c r="F9" s="106"/>
      <c r="G9" s="106"/>
      <c r="H9" s="106"/>
      <c r="I9" s="106"/>
      <c r="J9" s="106"/>
      <c r="K9" s="106"/>
      <c r="L9" s="106"/>
    </row>
    <row r="10" spans="1:12" ht="13.5" customHeight="1" x14ac:dyDescent="0.25">
      <c r="A10" s="11"/>
      <c r="B10" s="10"/>
      <c r="C10" s="10" t="s">
        <v>216</v>
      </c>
      <c r="D10" s="11"/>
      <c r="E10" s="1"/>
      <c r="F10" s="106"/>
      <c r="G10" s="106"/>
      <c r="H10" s="106"/>
      <c r="I10" s="106"/>
      <c r="J10" s="106"/>
      <c r="K10" s="106"/>
      <c r="L10" s="106"/>
    </row>
    <row r="11" spans="1:12" ht="13.5" customHeight="1" x14ac:dyDescent="0.2">
      <c r="A11" s="1"/>
      <c r="B11" s="1"/>
      <c r="C11" s="1"/>
      <c r="D11" s="1" t="s">
        <v>217</v>
      </c>
      <c r="E11" s="1"/>
      <c r="F11" s="51">
        <v>2856405</v>
      </c>
      <c r="G11" s="51"/>
      <c r="H11" s="51">
        <v>0</v>
      </c>
      <c r="I11" s="51"/>
      <c r="J11" s="51">
        <v>0</v>
      </c>
      <c r="K11" s="51"/>
      <c r="L11" s="51">
        <v>2856405</v>
      </c>
    </row>
    <row r="12" spans="1:12" ht="13.5" customHeight="1" x14ac:dyDescent="0.2">
      <c r="A12" s="1"/>
      <c r="B12" s="1"/>
      <c r="C12" s="1"/>
      <c r="D12" s="1" t="s">
        <v>218</v>
      </c>
      <c r="E12" s="1"/>
      <c r="F12" s="51">
        <v>87498131.310000002</v>
      </c>
      <c r="G12" s="51"/>
      <c r="H12" s="51">
        <v>0</v>
      </c>
      <c r="I12" s="51"/>
      <c r="J12" s="51">
        <v>0</v>
      </c>
      <c r="K12" s="51"/>
      <c r="L12" s="51">
        <v>87498131.310000002</v>
      </c>
    </row>
    <row r="13" spans="1:12" ht="13.5" customHeight="1" x14ac:dyDescent="0.2">
      <c r="A13" s="1"/>
      <c r="B13" s="1"/>
      <c r="C13" s="10" t="s">
        <v>219</v>
      </c>
      <c r="D13" s="1"/>
      <c r="E13" s="1"/>
      <c r="F13" s="51"/>
      <c r="G13" s="51"/>
      <c r="H13" s="51"/>
      <c r="I13" s="51"/>
      <c r="J13" s="51"/>
      <c r="K13" s="51"/>
      <c r="L13" s="51"/>
    </row>
    <row r="14" spans="1:12" ht="13.5" customHeight="1" x14ac:dyDescent="0.2">
      <c r="A14" s="1"/>
      <c r="B14" s="1"/>
      <c r="C14" s="1"/>
      <c r="D14" s="1" t="s">
        <v>220</v>
      </c>
      <c r="E14" s="1"/>
      <c r="F14" s="51">
        <v>1528581580.52</v>
      </c>
      <c r="G14" s="51"/>
      <c r="H14" s="51">
        <v>0</v>
      </c>
      <c r="I14" s="51"/>
      <c r="J14" s="51">
        <v>0</v>
      </c>
      <c r="K14" s="51"/>
      <c r="L14" s="51">
        <v>1528581580.52</v>
      </c>
    </row>
    <row r="15" spans="1:12" ht="13.5" customHeight="1" x14ac:dyDescent="0.2">
      <c r="A15" s="1"/>
      <c r="B15" s="1"/>
      <c r="C15" s="1"/>
      <c r="D15" s="56" t="s">
        <v>221</v>
      </c>
      <c r="E15" s="1"/>
      <c r="F15" s="51">
        <v>-164873788.06</v>
      </c>
      <c r="G15" s="51"/>
      <c r="H15" s="51">
        <v>0</v>
      </c>
      <c r="I15" s="51"/>
      <c r="J15" s="51">
        <v>0</v>
      </c>
      <c r="K15" s="51"/>
      <c r="L15" s="51">
        <v>-164873788.06</v>
      </c>
    </row>
    <row r="16" spans="1:12" ht="13.5" customHeight="1" x14ac:dyDescent="0.2">
      <c r="A16" s="1"/>
      <c r="B16" s="1"/>
      <c r="C16" s="1"/>
      <c r="D16" s="1" t="s">
        <v>222</v>
      </c>
      <c r="E16" s="1"/>
      <c r="F16" s="51">
        <v>0</v>
      </c>
      <c r="G16" s="51"/>
      <c r="H16" s="51">
        <v>1209901245.7</v>
      </c>
      <c r="I16" s="51"/>
      <c r="J16" s="51">
        <v>0</v>
      </c>
      <c r="K16" s="51"/>
      <c r="L16" s="51">
        <v>1209901245.7</v>
      </c>
    </row>
    <row r="17" spans="1:12" ht="13.5" customHeight="1" x14ac:dyDescent="0.2">
      <c r="A17" s="1"/>
      <c r="B17" s="1"/>
      <c r="C17" s="1"/>
      <c r="D17" s="56" t="s">
        <v>223</v>
      </c>
      <c r="E17" s="1"/>
      <c r="F17" s="51">
        <v>0</v>
      </c>
      <c r="G17" s="51"/>
      <c r="H17" s="51">
        <v>-129508140.31999999</v>
      </c>
      <c r="I17" s="51"/>
      <c r="J17" s="51">
        <v>0</v>
      </c>
      <c r="K17" s="51"/>
      <c r="L17" s="51">
        <v>-129508140.31999999</v>
      </c>
    </row>
    <row r="18" spans="1:12" ht="13.5" customHeight="1" x14ac:dyDescent="0.2">
      <c r="A18" s="1"/>
      <c r="B18" s="1"/>
      <c r="C18" s="1"/>
      <c r="D18" s="1" t="s">
        <v>224</v>
      </c>
      <c r="E18" s="1"/>
      <c r="F18" s="51">
        <v>28784913.09</v>
      </c>
      <c r="G18" s="51"/>
      <c r="H18" s="51">
        <v>0</v>
      </c>
      <c r="I18" s="51"/>
      <c r="J18" s="51">
        <v>0</v>
      </c>
      <c r="K18" s="51"/>
      <c r="L18" s="51">
        <v>28784913.09</v>
      </c>
    </row>
    <row r="19" spans="1:12" ht="13.5" customHeight="1" x14ac:dyDescent="0.2">
      <c r="A19" s="1"/>
      <c r="B19" s="1"/>
      <c r="C19" s="1"/>
      <c r="D19" s="1" t="s">
        <v>225</v>
      </c>
      <c r="E19" s="1"/>
      <c r="F19" s="51">
        <v>507541552.81999999</v>
      </c>
      <c r="G19" s="51"/>
      <c r="H19" s="51">
        <v>0</v>
      </c>
      <c r="I19" s="51"/>
      <c r="J19" s="51">
        <v>0</v>
      </c>
      <c r="K19" s="51"/>
      <c r="L19" s="51">
        <v>507541552.81999999</v>
      </c>
    </row>
    <row r="20" spans="1:12" ht="13.5" customHeight="1" x14ac:dyDescent="0.2">
      <c r="A20" s="1"/>
      <c r="B20" s="1"/>
      <c r="C20" s="10" t="s">
        <v>226</v>
      </c>
      <c r="D20" s="1"/>
      <c r="E20" s="1"/>
      <c r="F20" s="51"/>
      <c r="G20" s="51"/>
      <c r="H20" s="51"/>
      <c r="I20" s="51"/>
      <c r="J20" s="51"/>
      <c r="K20" s="51"/>
      <c r="L20" s="51"/>
    </row>
    <row r="21" spans="1:12" ht="13.5" customHeight="1" x14ac:dyDescent="0.2">
      <c r="A21" s="1"/>
      <c r="B21" s="1"/>
      <c r="C21" s="1"/>
      <c r="D21" s="1" t="s">
        <v>227</v>
      </c>
      <c r="E21" s="1"/>
      <c r="F21" s="51">
        <v>7995919218.7399998</v>
      </c>
      <c r="G21" s="51"/>
      <c r="H21" s="51">
        <v>0</v>
      </c>
      <c r="I21" s="51"/>
      <c r="J21" s="51">
        <v>0</v>
      </c>
      <c r="K21" s="51"/>
      <c r="L21" s="51">
        <v>7995919218.7399998</v>
      </c>
    </row>
    <row r="22" spans="1:12" ht="13.5" customHeight="1" x14ac:dyDescent="0.2">
      <c r="A22" s="1"/>
      <c r="B22" s="1"/>
      <c r="C22" s="1"/>
      <c r="D22" s="1" t="s">
        <v>228</v>
      </c>
      <c r="E22" s="1"/>
      <c r="F22" s="51">
        <v>3819000</v>
      </c>
      <c r="G22" s="51"/>
      <c r="H22" s="51">
        <v>0</v>
      </c>
      <c r="I22" s="51"/>
      <c r="J22" s="51">
        <v>0</v>
      </c>
      <c r="K22" s="51"/>
      <c r="L22" s="51">
        <v>3819000</v>
      </c>
    </row>
    <row r="23" spans="1:12" ht="13.5" customHeight="1" x14ac:dyDescent="0.2">
      <c r="A23" s="1"/>
      <c r="B23" s="1"/>
      <c r="C23" s="1"/>
      <c r="D23" s="1" t="s">
        <v>229</v>
      </c>
      <c r="E23" s="1"/>
      <c r="F23" s="51">
        <v>13021909.09</v>
      </c>
      <c r="G23" s="51"/>
      <c r="H23" s="51">
        <v>0</v>
      </c>
      <c r="I23" s="51"/>
      <c r="J23" s="51">
        <v>0</v>
      </c>
      <c r="K23" s="51"/>
      <c r="L23" s="51">
        <v>13021909.09</v>
      </c>
    </row>
    <row r="24" spans="1:12" ht="13.5" customHeight="1" x14ac:dyDescent="0.2">
      <c r="A24" s="1"/>
      <c r="B24" s="1"/>
      <c r="C24" s="1"/>
      <c r="D24" s="1" t="s">
        <v>230</v>
      </c>
      <c r="E24" s="1"/>
      <c r="F24" s="51">
        <v>107129973.92</v>
      </c>
      <c r="G24" s="51"/>
      <c r="H24" s="51">
        <v>0</v>
      </c>
      <c r="I24" s="51"/>
      <c r="J24" s="51">
        <v>0</v>
      </c>
      <c r="K24" s="51"/>
      <c r="L24" s="51">
        <v>107129973.92</v>
      </c>
    </row>
    <row r="25" spans="1:12" ht="13.5" customHeight="1" x14ac:dyDescent="0.2">
      <c r="A25" s="1"/>
      <c r="B25" s="1"/>
      <c r="C25" s="1"/>
      <c r="D25" s="1" t="s">
        <v>231</v>
      </c>
      <c r="E25" s="1"/>
      <c r="F25" s="51">
        <v>1874836.94</v>
      </c>
      <c r="G25" s="51"/>
      <c r="H25" s="51">
        <v>0</v>
      </c>
      <c r="I25" s="51"/>
      <c r="J25" s="51">
        <v>0</v>
      </c>
      <c r="K25" s="51"/>
      <c r="L25" s="51">
        <v>1874836.94</v>
      </c>
    </row>
    <row r="26" spans="1:12" ht="13.5" customHeight="1" x14ac:dyDescent="0.2">
      <c r="A26" s="1"/>
      <c r="B26" s="10"/>
      <c r="C26" s="10" t="s">
        <v>232</v>
      </c>
      <c r="D26" s="1"/>
      <c r="E26" s="1"/>
      <c r="F26" s="51"/>
      <c r="G26" s="51"/>
      <c r="H26" s="51"/>
      <c r="I26" s="51"/>
      <c r="J26" s="51"/>
      <c r="K26" s="51"/>
      <c r="L26" s="51"/>
    </row>
    <row r="27" spans="1:12" ht="13.5" customHeight="1" x14ac:dyDescent="0.2">
      <c r="A27" s="1"/>
      <c r="B27" s="1"/>
      <c r="C27" s="1"/>
      <c r="D27" s="1" t="s">
        <v>233</v>
      </c>
      <c r="E27" s="1"/>
      <c r="F27" s="51">
        <v>34064686.289999999</v>
      </c>
      <c r="G27" s="51"/>
      <c r="H27" s="51">
        <v>0</v>
      </c>
      <c r="I27" s="51"/>
      <c r="J27" s="51">
        <v>0</v>
      </c>
      <c r="K27" s="51"/>
      <c r="L27" s="51">
        <v>34064686.289999999</v>
      </c>
    </row>
    <row r="28" spans="1:12" ht="13.5" customHeight="1" x14ac:dyDescent="0.2">
      <c r="A28" s="1"/>
      <c r="B28" s="10"/>
      <c r="C28" s="10" t="s">
        <v>234</v>
      </c>
      <c r="D28" s="1"/>
      <c r="E28" s="1"/>
      <c r="F28" s="51"/>
      <c r="G28" s="51"/>
      <c r="H28" s="51"/>
      <c r="I28" s="51"/>
      <c r="J28" s="51"/>
      <c r="K28" s="51"/>
      <c r="L28" s="51"/>
    </row>
    <row r="29" spans="1:12" ht="13.5" customHeight="1" x14ac:dyDescent="0.2">
      <c r="A29" s="1"/>
      <c r="B29" s="10"/>
      <c r="C29" s="10"/>
      <c r="D29" s="57" t="s">
        <v>235</v>
      </c>
      <c r="E29" s="1"/>
      <c r="F29" s="51">
        <v>21198.98</v>
      </c>
      <c r="G29" s="51"/>
      <c r="H29" s="51">
        <v>0</v>
      </c>
      <c r="I29" s="51"/>
      <c r="J29" s="51">
        <v>0</v>
      </c>
      <c r="K29" s="51"/>
      <c r="L29" s="51">
        <v>21198.98</v>
      </c>
    </row>
    <row r="30" spans="1:12" ht="13.5" customHeight="1" x14ac:dyDescent="0.2">
      <c r="A30" s="1"/>
      <c r="B30" s="1"/>
      <c r="C30" s="1"/>
      <c r="D30" s="57" t="s">
        <v>236</v>
      </c>
      <c r="E30" s="57"/>
      <c r="F30" s="51">
        <v>39713237.240000002</v>
      </c>
      <c r="G30" s="51"/>
      <c r="H30" s="51">
        <v>34312012.969999999</v>
      </c>
      <c r="I30" s="51"/>
      <c r="J30" s="51">
        <v>0</v>
      </c>
      <c r="K30" s="51"/>
      <c r="L30" s="51">
        <v>74025250.210000008</v>
      </c>
    </row>
    <row r="31" spans="1:12" ht="13.5" customHeight="1" x14ac:dyDescent="0.2">
      <c r="A31" s="1"/>
      <c r="B31" s="1"/>
      <c r="C31" s="1"/>
      <c r="D31" s="57" t="s">
        <v>237</v>
      </c>
      <c r="E31" s="57"/>
      <c r="F31" s="51">
        <v>185672324.11000001</v>
      </c>
      <c r="G31" s="51"/>
      <c r="H31" s="51">
        <v>0</v>
      </c>
      <c r="I31" s="51"/>
      <c r="J31" s="51">
        <v>0</v>
      </c>
      <c r="K31" s="51"/>
      <c r="L31" s="51">
        <v>185672324.11000001</v>
      </c>
    </row>
    <row r="32" spans="1:12" ht="13.5" customHeight="1" x14ac:dyDescent="0.2">
      <c r="A32" s="1"/>
      <c r="B32" s="1"/>
      <c r="C32" s="1"/>
      <c r="D32" s="58" t="s">
        <v>238</v>
      </c>
      <c r="E32" s="58"/>
      <c r="F32" s="51">
        <v>4253495.9000000004</v>
      </c>
      <c r="G32" s="51"/>
      <c r="H32" s="51">
        <v>0</v>
      </c>
      <c r="I32" s="51"/>
      <c r="J32" s="51">
        <v>0</v>
      </c>
      <c r="K32" s="51"/>
      <c r="L32" s="51">
        <v>4253495.9000000004</v>
      </c>
    </row>
    <row r="33" spans="1:12" ht="13.5" customHeight="1" x14ac:dyDescent="0.25">
      <c r="A33" s="23"/>
      <c r="B33" s="18"/>
      <c r="C33" s="18" t="s">
        <v>43</v>
      </c>
      <c r="D33" s="23"/>
      <c r="E33" s="23"/>
      <c r="F33" s="112">
        <v>10375878675.890001</v>
      </c>
      <c r="G33" s="112"/>
      <c r="H33" s="112">
        <v>1114705118.3500001</v>
      </c>
      <c r="I33" s="112"/>
      <c r="J33" s="112">
        <v>0</v>
      </c>
      <c r="K33" s="112"/>
      <c r="L33" s="112">
        <v>11490583794.24</v>
      </c>
    </row>
    <row r="34" spans="1:12" ht="13.5" customHeight="1" x14ac:dyDescent="0.25">
      <c r="A34" s="11"/>
      <c r="B34" s="10" t="s">
        <v>239</v>
      </c>
      <c r="C34" s="10"/>
      <c r="D34" s="11"/>
      <c r="E34" s="11"/>
      <c r="F34" s="120"/>
      <c r="G34" s="120"/>
      <c r="H34" s="120"/>
      <c r="I34" s="120"/>
      <c r="J34" s="120"/>
      <c r="K34" s="120"/>
      <c r="L34" s="51"/>
    </row>
    <row r="35" spans="1:12" ht="13.5" customHeight="1" x14ac:dyDescent="0.2">
      <c r="A35" s="33"/>
      <c r="B35" s="33"/>
      <c r="C35" s="35" t="s">
        <v>240</v>
      </c>
      <c r="D35" s="33"/>
      <c r="E35" s="33"/>
      <c r="F35" s="118">
        <v>2204010074.96</v>
      </c>
      <c r="G35" s="121"/>
      <c r="H35" s="121">
        <v>0</v>
      </c>
      <c r="I35" s="121"/>
      <c r="J35" s="121">
        <v>0</v>
      </c>
      <c r="K35" s="121"/>
      <c r="L35" s="118">
        <v>2204010074.96</v>
      </c>
    </row>
    <row r="36" spans="1:12" ht="13.5" customHeight="1" x14ac:dyDescent="0.25">
      <c r="A36" s="11"/>
      <c r="B36" s="10" t="s">
        <v>241</v>
      </c>
      <c r="C36" s="11"/>
      <c r="D36" s="11"/>
      <c r="E36" s="11"/>
      <c r="F36" s="51"/>
      <c r="G36" s="51"/>
      <c r="H36" s="51"/>
      <c r="I36" s="51"/>
      <c r="J36" s="51"/>
      <c r="K36" s="51"/>
      <c r="L36" s="51"/>
    </row>
    <row r="37" spans="1:12" ht="13.5" customHeight="1" x14ac:dyDescent="0.2">
      <c r="A37" s="33"/>
      <c r="B37" s="33"/>
      <c r="C37" s="34" t="s">
        <v>242</v>
      </c>
      <c r="D37" s="33"/>
      <c r="E37" s="33"/>
      <c r="F37" s="121">
        <v>362123352.30000001</v>
      </c>
      <c r="G37" s="121"/>
      <c r="H37" s="121">
        <v>0</v>
      </c>
      <c r="I37" s="121"/>
      <c r="J37" s="121">
        <v>0</v>
      </c>
      <c r="K37" s="121"/>
      <c r="L37" s="51">
        <v>362123352.30000001</v>
      </c>
    </row>
    <row r="38" spans="1:12" ht="13.5" customHeight="1" x14ac:dyDescent="0.2">
      <c r="A38" s="31"/>
      <c r="B38" s="31"/>
      <c r="C38" s="18" t="s">
        <v>243</v>
      </c>
      <c r="D38" s="31"/>
      <c r="E38" s="31"/>
      <c r="F38" s="112">
        <v>362123352.30000001</v>
      </c>
      <c r="G38" s="112"/>
      <c r="H38" s="112">
        <v>0</v>
      </c>
      <c r="I38" s="112"/>
      <c r="J38" s="112">
        <v>0</v>
      </c>
      <c r="K38" s="112"/>
      <c r="L38" s="112">
        <v>362123352.30000001</v>
      </c>
    </row>
    <row r="39" spans="1:12" ht="13.5" customHeight="1" x14ac:dyDescent="0.25">
      <c r="A39" s="11"/>
      <c r="B39" s="10" t="s">
        <v>244</v>
      </c>
      <c r="C39" s="11"/>
      <c r="D39" s="11"/>
      <c r="E39" s="11"/>
      <c r="F39" s="120"/>
      <c r="G39" s="120"/>
      <c r="H39" s="120"/>
      <c r="I39" s="120"/>
      <c r="J39" s="120"/>
      <c r="K39" s="120"/>
      <c r="L39" s="51"/>
    </row>
    <row r="40" spans="1:12" ht="13.5" customHeight="1" x14ac:dyDescent="0.25">
      <c r="A40" s="11"/>
      <c r="B40" s="10"/>
      <c r="C40" s="10" t="s">
        <v>245</v>
      </c>
      <c r="D40" s="11"/>
      <c r="E40" s="11"/>
      <c r="F40" s="51"/>
      <c r="G40" s="51"/>
      <c r="H40" s="51"/>
      <c r="I40" s="51"/>
      <c r="J40" s="51"/>
      <c r="K40" s="51"/>
      <c r="L40" s="51"/>
    </row>
    <row r="41" spans="1:12" ht="13.5" customHeight="1" x14ac:dyDescent="0.25">
      <c r="A41" s="11"/>
      <c r="B41" s="11"/>
      <c r="C41" s="12"/>
      <c r="D41" s="12" t="s">
        <v>246</v>
      </c>
      <c r="E41" s="11"/>
      <c r="F41" s="51">
        <v>351153382.81999999</v>
      </c>
      <c r="G41" s="51"/>
      <c r="H41" s="51">
        <v>0</v>
      </c>
      <c r="I41" s="51"/>
      <c r="J41" s="51">
        <v>0</v>
      </c>
      <c r="K41" s="51"/>
      <c r="L41" s="51">
        <v>351153382.81999999</v>
      </c>
    </row>
    <row r="42" spans="1:12" ht="13.5" customHeight="1" x14ac:dyDescent="0.25">
      <c r="A42" s="11"/>
      <c r="B42" s="11"/>
      <c r="C42" s="12"/>
      <c r="D42" s="12" t="s">
        <v>247</v>
      </c>
      <c r="E42" s="12"/>
      <c r="F42" s="51">
        <v>5336963.75</v>
      </c>
      <c r="G42" s="51"/>
      <c r="H42" s="51">
        <v>0</v>
      </c>
      <c r="I42" s="51"/>
      <c r="J42" s="51">
        <v>0</v>
      </c>
      <c r="K42" s="51"/>
      <c r="L42" s="51">
        <v>5336963.75</v>
      </c>
    </row>
    <row r="43" spans="1:12" ht="13.5" customHeight="1" x14ac:dyDescent="0.25">
      <c r="A43" s="11"/>
      <c r="B43" s="11"/>
      <c r="C43" s="12"/>
      <c r="D43" s="12" t="s">
        <v>248</v>
      </c>
      <c r="E43" s="12"/>
      <c r="F43" s="51">
        <v>79206079.700000003</v>
      </c>
      <c r="G43" s="51"/>
      <c r="H43" s="51">
        <v>0</v>
      </c>
      <c r="I43" s="51"/>
      <c r="J43" s="51">
        <v>0</v>
      </c>
      <c r="K43" s="51"/>
      <c r="L43" s="51">
        <v>79206079.700000003</v>
      </c>
    </row>
    <row r="44" spans="1:12" ht="13.5" customHeight="1" x14ac:dyDescent="0.25">
      <c r="A44" s="11"/>
      <c r="B44" s="11"/>
      <c r="C44" s="12"/>
      <c r="D44" s="12" t="s">
        <v>249</v>
      </c>
      <c r="E44" s="12"/>
      <c r="F44" s="51">
        <v>145143204.58000001</v>
      </c>
      <c r="G44" s="51"/>
      <c r="H44" s="51">
        <v>0</v>
      </c>
      <c r="I44" s="51"/>
      <c r="J44" s="51">
        <v>0</v>
      </c>
      <c r="K44" s="51"/>
      <c r="L44" s="51">
        <v>145143204.58000001</v>
      </c>
    </row>
    <row r="45" spans="1:12" ht="13.5" customHeight="1" x14ac:dyDescent="0.25">
      <c r="A45" s="11"/>
      <c r="B45" s="11"/>
      <c r="C45" s="12"/>
      <c r="D45" s="12" t="s">
        <v>250</v>
      </c>
      <c r="E45" s="12"/>
      <c r="F45" s="51">
        <v>3753185.62</v>
      </c>
      <c r="G45" s="51"/>
      <c r="H45" s="51">
        <v>0</v>
      </c>
      <c r="I45" s="51"/>
      <c r="J45" s="51">
        <v>0</v>
      </c>
      <c r="K45" s="51"/>
      <c r="L45" s="51">
        <v>3753185.62</v>
      </c>
    </row>
    <row r="46" spans="1:12" ht="13.5" customHeight="1" x14ac:dyDescent="0.25">
      <c r="A46" s="11"/>
      <c r="B46" s="11"/>
      <c r="C46" s="12"/>
      <c r="D46" s="12" t="s">
        <v>251</v>
      </c>
      <c r="E46" s="12"/>
      <c r="F46" s="51">
        <v>4178287</v>
      </c>
      <c r="G46" s="51"/>
      <c r="H46" s="51">
        <v>0</v>
      </c>
      <c r="I46" s="51"/>
      <c r="J46" s="51">
        <v>0</v>
      </c>
      <c r="K46" s="51"/>
      <c r="L46" s="51">
        <v>4178287</v>
      </c>
    </row>
    <row r="47" spans="1:12" ht="13.5" customHeight="1" x14ac:dyDescent="0.25">
      <c r="A47" s="11"/>
      <c r="B47" s="11"/>
      <c r="C47" s="12"/>
      <c r="D47" s="12" t="s">
        <v>252</v>
      </c>
      <c r="E47" s="12"/>
      <c r="F47" s="51">
        <v>7106105.6600000001</v>
      </c>
      <c r="G47" s="51"/>
      <c r="H47" s="51">
        <v>0</v>
      </c>
      <c r="I47" s="51"/>
      <c r="J47" s="51">
        <v>0</v>
      </c>
      <c r="K47" s="51"/>
      <c r="L47" s="51">
        <v>7106105.6600000001</v>
      </c>
    </row>
    <row r="48" spans="1:12" ht="13.5" customHeight="1" x14ac:dyDescent="0.25">
      <c r="A48" s="11"/>
      <c r="B48" s="11"/>
      <c r="C48" s="12"/>
      <c r="D48" s="12" t="s">
        <v>253</v>
      </c>
      <c r="E48" s="12"/>
      <c r="F48" s="51">
        <v>169472491.00999999</v>
      </c>
      <c r="G48" s="51"/>
      <c r="H48" s="51">
        <v>0</v>
      </c>
      <c r="I48" s="51"/>
      <c r="J48" s="51">
        <v>0</v>
      </c>
      <c r="K48" s="51"/>
      <c r="L48" s="51">
        <v>169472491.00999999</v>
      </c>
    </row>
    <row r="49" spans="1:12" ht="13.5" customHeight="1" x14ac:dyDescent="0.25">
      <c r="A49" s="11"/>
      <c r="B49" s="10"/>
      <c r="C49" s="10" t="s">
        <v>254</v>
      </c>
      <c r="D49" s="11"/>
      <c r="E49" s="11"/>
      <c r="F49" s="51"/>
      <c r="G49" s="51"/>
      <c r="H49" s="51"/>
      <c r="I49" s="51"/>
      <c r="J49" s="51"/>
      <c r="K49" s="51"/>
      <c r="L49" s="51"/>
    </row>
    <row r="50" spans="1:12" ht="13.5" customHeight="1" x14ac:dyDescent="0.25">
      <c r="A50" s="11"/>
      <c r="B50" s="11"/>
      <c r="C50" s="12"/>
      <c r="D50" s="12" t="s">
        <v>255</v>
      </c>
      <c r="E50" s="12"/>
      <c r="F50" s="51">
        <v>14604893.59</v>
      </c>
      <c r="G50" s="51"/>
      <c r="H50" s="51">
        <v>0</v>
      </c>
      <c r="I50" s="51"/>
      <c r="J50" s="51">
        <v>0</v>
      </c>
      <c r="K50" s="51"/>
      <c r="L50" s="51">
        <v>14604893.59</v>
      </c>
    </row>
    <row r="51" spans="1:12" ht="13.5" customHeight="1" x14ac:dyDescent="0.25">
      <c r="A51" s="11"/>
      <c r="B51" s="11"/>
      <c r="C51" s="12"/>
      <c r="D51" s="12" t="s">
        <v>256</v>
      </c>
      <c r="E51" s="12"/>
      <c r="F51" s="51">
        <v>300</v>
      </c>
      <c r="G51" s="51"/>
      <c r="H51" s="51">
        <v>0</v>
      </c>
      <c r="I51" s="51"/>
      <c r="J51" s="51">
        <v>0</v>
      </c>
      <c r="K51" s="51"/>
      <c r="L51" s="51">
        <v>300</v>
      </c>
    </row>
    <row r="52" spans="1:12" ht="13.5" customHeight="1" x14ac:dyDescent="0.25">
      <c r="A52" s="11"/>
      <c r="B52" s="11"/>
      <c r="C52" s="12"/>
      <c r="D52" s="12" t="s">
        <v>257</v>
      </c>
      <c r="E52" s="12"/>
      <c r="F52" s="51">
        <v>2953070</v>
      </c>
      <c r="G52" s="51"/>
      <c r="H52" s="51">
        <v>0</v>
      </c>
      <c r="I52" s="51"/>
      <c r="J52" s="51">
        <v>0</v>
      </c>
      <c r="K52" s="51"/>
      <c r="L52" s="51">
        <v>2953070</v>
      </c>
    </row>
    <row r="53" spans="1:12" ht="13.5" customHeight="1" x14ac:dyDescent="0.25">
      <c r="A53" s="11"/>
      <c r="B53" s="11"/>
      <c r="C53" s="12"/>
      <c r="D53" s="12" t="s">
        <v>258</v>
      </c>
      <c r="E53" s="12"/>
      <c r="F53" s="51">
        <v>65830033.93</v>
      </c>
      <c r="G53" s="51"/>
      <c r="H53" s="51">
        <v>0</v>
      </c>
      <c r="I53" s="51"/>
      <c r="J53" s="51">
        <v>0</v>
      </c>
      <c r="K53" s="51"/>
      <c r="L53" s="51">
        <v>65830033.93</v>
      </c>
    </row>
    <row r="54" spans="1:12" ht="13.5" customHeight="1" x14ac:dyDescent="0.25">
      <c r="A54" s="11"/>
      <c r="B54" s="11"/>
      <c r="C54" s="12"/>
      <c r="D54" s="12" t="s">
        <v>259</v>
      </c>
      <c r="E54" s="11"/>
      <c r="F54" s="51">
        <v>39004580</v>
      </c>
      <c r="G54" s="51"/>
      <c r="H54" s="51">
        <v>0</v>
      </c>
      <c r="I54" s="51"/>
      <c r="J54" s="51">
        <v>0</v>
      </c>
      <c r="K54" s="51"/>
      <c r="L54" s="51">
        <v>39004580</v>
      </c>
    </row>
    <row r="55" spans="1:12" ht="13.5" customHeight="1" x14ac:dyDescent="0.25">
      <c r="A55" s="11"/>
      <c r="B55" s="11"/>
      <c r="C55" s="12"/>
      <c r="D55" s="12" t="s">
        <v>260</v>
      </c>
      <c r="E55" s="11"/>
      <c r="F55" s="51">
        <v>400</v>
      </c>
      <c r="G55" s="51"/>
      <c r="H55" s="51">
        <v>0</v>
      </c>
      <c r="I55" s="51"/>
      <c r="J55" s="51">
        <v>0</v>
      </c>
      <c r="K55" s="51"/>
      <c r="L55" s="51">
        <v>400</v>
      </c>
    </row>
    <row r="56" spans="1:12" ht="13.5" customHeight="1" x14ac:dyDescent="0.25">
      <c r="A56" s="11"/>
      <c r="B56" s="11"/>
      <c r="C56" s="12"/>
      <c r="D56" s="12" t="s">
        <v>261</v>
      </c>
      <c r="E56" s="11"/>
      <c r="F56" s="51">
        <v>105534759.22</v>
      </c>
      <c r="G56" s="51"/>
      <c r="H56" s="51">
        <v>0</v>
      </c>
      <c r="I56" s="51"/>
      <c r="J56" s="51">
        <v>0</v>
      </c>
      <c r="K56" s="51"/>
      <c r="L56" s="51">
        <v>105534759.22</v>
      </c>
    </row>
    <row r="57" spans="1:12" ht="13.5" customHeight="1" x14ac:dyDescent="0.25">
      <c r="A57" s="11"/>
      <c r="B57" s="11"/>
      <c r="C57" s="12"/>
      <c r="D57" s="12" t="s">
        <v>262</v>
      </c>
      <c r="E57" s="11"/>
      <c r="F57" s="51">
        <v>7526160</v>
      </c>
      <c r="G57" s="51"/>
      <c r="H57" s="51">
        <v>0</v>
      </c>
      <c r="I57" s="51"/>
      <c r="J57" s="51">
        <v>0</v>
      </c>
      <c r="K57" s="51"/>
      <c r="L57" s="51">
        <v>7526160</v>
      </c>
    </row>
    <row r="58" spans="1:12" ht="13.5" customHeight="1" x14ac:dyDescent="0.25">
      <c r="A58" s="11"/>
      <c r="B58" s="11"/>
      <c r="C58" s="12"/>
      <c r="D58" s="12" t="s">
        <v>263</v>
      </c>
      <c r="E58" s="11"/>
      <c r="F58" s="51">
        <v>4835798</v>
      </c>
      <c r="G58" s="51"/>
      <c r="H58" s="51">
        <v>0</v>
      </c>
      <c r="I58" s="51"/>
      <c r="J58" s="51">
        <v>0</v>
      </c>
      <c r="K58" s="51"/>
      <c r="L58" s="51">
        <v>4835798</v>
      </c>
    </row>
    <row r="59" spans="1:12" ht="13.5" customHeight="1" x14ac:dyDescent="0.25">
      <c r="A59" s="11"/>
      <c r="B59" s="11"/>
      <c r="C59" s="12"/>
      <c r="D59" s="12" t="s">
        <v>264</v>
      </c>
      <c r="E59" s="11"/>
      <c r="F59" s="51">
        <v>339508300.91000003</v>
      </c>
      <c r="G59" s="51"/>
      <c r="H59" s="51">
        <v>0</v>
      </c>
      <c r="I59" s="51"/>
      <c r="J59" s="51">
        <v>0</v>
      </c>
      <c r="K59" s="51"/>
      <c r="L59" s="51">
        <v>339508300.91000003</v>
      </c>
    </row>
    <row r="60" spans="1:12" ht="13.5" customHeight="1" x14ac:dyDescent="0.25">
      <c r="A60" s="11"/>
      <c r="B60" s="11"/>
      <c r="C60" s="12"/>
      <c r="D60" s="12" t="s">
        <v>265</v>
      </c>
      <c r="E60" s="11"/>
      <c r="F60" s="51">
        <v>590793737.55999994</v>
      </c>
      <c r="G60" s="51"/>
      <c r="H60" s="51">
        <v>0</v>
      </c>
      <c r="I60" s="51"/>
      <c r="J60" s="51">
        <v>0</v>
      </c>
      <c r="K60" s="51"/>
      <c r="L60" s="51">
        <v>590793737.55999994</v>
      </c>
    </row>
    <row r="61" spans="1:12" ht="13.5" customHeight="1" x14ac:dyDescent="0.25">
      <c r="A61" s="11"/>
      <c r="B61" s="11"/>
      <c r="C61" s="12"/>
      <c r="D61" s="12" t="s">
        <v>266</v>
      </c>
      <c r="E61" s="11"/>
      <c r="F61" s="51">
        <v>707559886.97000003</v>
      </c>
      <c r="G61" s="51"/>
      <c r="H61" s="51">
        <v>1383293.76</v>
      </c>
      <c r="I61" s="51"/>
      <c r="J61" s="51">
        <v>0</v>
      </c>
      <c r="K61" s="51"/>
      <c r="L61" s="51">
        <v>708943180.73000002</v>
      </c>
    </row>
    <row r="62" spans="1:12" ht="13.5" customHeight="1" x14ac:dyDescent="0.25">
      <c r="A62" s="11"/>
      <c r="B62" s="11"/>
      <c r="C62" s="12"/>
      <c r="D62" s="12" t="s">
        <v>267</v>
      </c>
      <c r="E62" s="11"/>
      <c r="F62" s="51">
        <v>42583900.759999998</v>
      </c>
      <c r="G62" s="51"/>
      <c r="H62" s="51">
        <v>0</v>
      </c>
      <c r="I62" s="51"/>
      <c r="J62" s="51">
        <v>0</v>
      </c>
      <c r="K62" s="51"/>
      <c r="L62" s="51">
        <v>42583900.759999998</v>
      </c>
    </row>
    <row r="63" spans="1:12" ht="13.5" customHeight="1" x14ac:dyDescent="0.25">
      <c r="A63" s="11"/>
      <c r="B63" s="11"/>
      <c r="C63" s="12"/>
      <c r="D63" s="12" t="s">
        <v>268</v>
      </c>
      <c r="E63" s="11"/>
      <c r="F63" s="51">
        <v>37068446.119999997</v>
      </c>
      <c r="G63" s="51"/>
      <c r="H63" s="51">
        <v>0</v>
      </c>
      <c r="I63" s="51"/>
      <c r="J63" s="51">
        <v>0</v>
      </c>
      <c r="K63" s="51"/>
      <c r="L63" s="51">
        <v>37068446.119999997</v>
      </c>
    </row>
    <row r="64" spans="1:12" ht="13.5" customHeight="1" x14ac:dyDescent="0.25">
      <c r="A64" s="11"/>
      <c r="B64" s="11"/>
      <c r="C64" s="12"/>
      <c r="D64" s="12" t="s">
        <v>269</v>
      </c>
      <c r="E64" s="11"/>
      <c r="F64" s="51">
        <v>79327415.260000005</v>
      </c>
      <c r="G64" s="51"/>
      <c r="H64" s="51">
        <v>0</v>
      </c>
      <c r="I64" s="51"/>
      <c r="J64" s="51">
        <v>0</v>
      </c>
      <c r="K64" s="51"/>
      <c r="L64" s="51">
        <v>79327415.260000005</v>
      </c>
    </row>
    <row r="65" spans="1:12" ht="13.5" customHeight="1" x14ac:dyDescent="0.25">
      <c r="A65" s="23"/>
      <c r="B65" s="18"/>
      <c r="C65" s="18" t="s">
        <v>270</v>
      </c>
      <c r="D65" s="31"/>
      <c r="E65" s="23"/>
      <c r="F65" s="112">
        <v>2802481382.46</v>
      </c>
      <c r="G65" s="112"/>
      <c r="H65" s="112">
        <v>1383293.76</v>
      </c>
      <c r="I65" s="112"/>
      <c r="J65" s="112">
        <v>0</v>
      </c>
      <c r="K65" s="112"/>
      <c r="L65" s="112">
        <v>2803864676.2200003</v>
      </c>
    </row>
    <row r="66" spans="1:12" ht="13.5" customHeight="1" x14ac:dyDescent="0.25">
      <c r="A66" s="11"/>
      <c r="B66" s="10" t="s">
        <v>271</v>
      </c>
      <c r="C66" s="11"/>
      <c r="D66" s="11"/>
      <c r="E66" s="11"/>
      <c r="F66" s="120"/>
      <c r="G66" s="120"/>
      <c r="H66" s="120"/>
      <c r="I66" s="120"/>
      <c r="J66" s="120"/>
      <c r="K66" s="120"/>
      <c r="L66" s="51"/>
    </row>
    <row r="67" spans="1:12" ht="13.5" customHeight="1" x14ac:dyDescent="0.25">
      <c r="A67" s="11"/>
      <c r="B67" s="10"/>
      <c r="C67" s="10" t="s">
        <v>272</v>
      </c>
      <c r="D67" s="11"/>
      <c r="E67" s="11"/>
      <c r="F67" s="51"/>
      <c r="G67" s="51"/>
      <c r="H67" s="51"/>
      <c r="I67" s="51"/>
      <c r="J67" s="51"/>
      <c r="K67" s="51"/>
      <c r="L67" s="51"/>
    </row>
    <row r="68" spans="1:12" ht="13.5" customHeight="1" x14ac:dyDescent="0.25">
      <c r="A68" s="11"/>
      <c r="B68" s="11"/>
      <c r="C68" s="12"/>
      <c r="D68" s="12" t="s">
        <v>273</v>
      </c>
      <c r="E68" s="12"/>
      <c r="F68" s="51">
        <v>4863264.95</v>
      </c>
      <c r="G68" s="51"/>
      <c r="H68" s="51">
        <v>0</v>
      </c>
      <c r="I68" s="51"/>
      <c r="J68" s="51">
        <v>0</v>
      </c>
      <c r="K68" s="51"/>
      <c r="L68" s="51">
        <v>4863264.95</v>
      </c>
    </row>
    <row r="69" spans="1:12" ht="13.5" customHeight="1" x14ac:dyDescent="0.25">
      <c r="A69" s="11"/>
      <c r="B69" s="10"/>
      <c r="C69" s="10" t="s">
        <v>274</v>
      </c>
      <c r="D69" s="11"/>
      <c r="E69" s="11"/>
      <c r="F69" s="51"/>
      <c r="G69" s="51"/>
      <c r="H69" s="51"/>
      <c r="I69" s="51"/>
      <c r="J69" s="51"/>
      <c r="K69" s="51"/>
      <c r="L69" s="51"/>
    </row>
    <row r="70" spans="1:12" ht="13.5" customHeight="1" x14ac:dyDescent="0.25">
      <c r="A70" s="11"/>
      <c r="B70" s="10"/>
      <c r="C70" s="10"/>
      <c r="D70" s="1" t="s">
        <v>275</v>
      </c>
      <c r="E70" s="11"/>
      <c r="F70" s="51">
        <v>5220670.5</v>
      </c>
      <c r="G70" s="51"/>
      <c r="H70" s="51">
        <v>0</v>
      </c>
      <c r="I70" s="51"/>
      <c r="J70" s="51">
        <v>0</v>
      </c>
      <c r="K70" s="51"/>
      <c r="L70" s="51">
        <v>5220670.5</v>
      </c>
    </row>
    <row r="71" spans="1:12" ht="13.5" customHeight="1" x14ac:dyDescent="0.25">
      <c r="A71" s="11"/>
      <c r="B71" s="11"/>
      <c r="C71" s="12"/>
      <c r="D71" s="12" t="s">
        <v>276</v>
      </c>
      <c r="E71" s="11"/>
      <c r="F71" s="51">
        <v>54544584.899999999</v>
      </c>
      <c r="G71" s="51"/>
      <c r="H71" s="51">
        <v>0</v>
      </c>
      <c r="I71" s="51"/>
      <c r="J71" s="51">
        <v>0</v>
      </c>
      <c r="K71" s="51"/>
      <c r="L71" s="51">
        <v>54544584.899999999</v>
      </c>
    </row>
    <row r="72" spans="1:12" ht="13.5" customHeight="1" x14ac:dyDescent="0.25">
      <c r="A72" s="23"/>
      <c r="B72" s="18"/>
      <c r="C72" s="18" t="s">
        <v>277</v>
      </c>
      <c r="D72" s="31"/>
      <c r="E72" s="23"/>
      <c r="F72" s="112">
        <v>64628520.349999994</v>
      </c>
      <c r="G72" s="112"/>
      <c r="H72" s="112">
        <v>0</v>
      </c>
      <c r="I72" s="112"/>
      <c r="J72" s="112">
        <v>0</v>
      </c>
      <c r="K72" s="112"/>
      <c r="L72" s="112">
        <v>64628520.349999994</v>
      </c>
    </row>
    <row r="73" spans="1:12" ht="13.5" customHeight="1" x14ac:dyDescent="0.25">
      <c r="A73" s="11"/>
      <c r="B73" s="11" t="s">
        <v>278</v>
      </c>
      <c r="C73" s="1"/>
      <c r="D73" s="1"/>
      <c r="E73" s="1"/>
      <c r="F73" s="120"/>
      <c r="G73" s="120"/>
      <c r="H73" s="120"/>
      <c r="I73" s="120"/>
      <c r="J73" s="120"/>
      <c r="K73" s="120"/>
      <c r="L73" s="51"/>
    </row>
    <row r="74" spans="1:12" ht="13.5" customHeight="1" x14ac:dyDescent="0.25">
      <c r="A74" s="1"/>
      <c r="B74" s="11"/>
      <c r="C74" s="11" t="s">
        <v>279</v>
      </c>
      <c r="D74" s="1"/>
      <c r="E74" s="1"/>
      <c r="F74" s="51"/>
      <c r="G74" s="51"/>
      <c r="H74" s="51"/>
      <c r="I74" s="51"/>
      <c r="J74" s="51"/>
      <c r="K74" s="51"/>
      <c r="L74" s="51"/>
    </row>
    <row r="75" spans="1:12" ht="13.5" customHeight="1" x14ac:dyDescent="0.25">
      <c r="A75" s="11"/>
      <c r="B75" s="1"/>
      <c r="C75" s="1"/>
      <c r="D75" s="1" t="s">
        <v>280</v>
      </c>
      <c r="E75" s="1"/>
      <c r="F75" s="51">
        <v>0</v>
      </c>
      <c r="G75" s="51"/>
      <c r="H75" s="51">
        <v>0</v>
      </c>
      <c r="I75" s="51"/>
      <c r="J75" s="51">
        <v>0</v>
      </c>
      <c r="K75" s="51"/>
      <c r="L75" s="51">
        <v>0</v>
      </c>
    </row>
    <row r="76" spans="1:12" ht="13.5" customHeight="1" x14ac:dyDescent="0.25">
      <c r="A76" s="23"/>
      <c r="B76" s="23"/>
      <c r="C76" s="23"/>
      <c r="D76" s="23" t="s">
        <v>281</v>
      </c>
      <c r="E76" s="23"/>
      <c r="F76" s="112">
        <v>0</v>
      </c>
      <c r="G76" s="112"/>
      <c r="H76" s="112">
        <v>0</v>
      </c>
      <c r="I76" s="112"/>
      <c r="J76" s="112">
        <v>0</v>
      </c>
      <c r="K76" s="112"/>
      <c r="L76" s="112">
        <v>0</v>
      </c>
    </row>
    <row r="77" spans="1:12" ht="13.5" customHeight="1" x14ac:dyDescent="0.25">
      <c r="A77" s="11"/>
      <c r="B77" s="11"/>
      <c r="C77" s="11" t="s">
        <v>282</v>
      </c>
      <c r="D77" s="1"/>
      <c r="E77" s="1"/>
      <c r="F77" s="120"/>
      <c r="G77" s="120"/>
      <c r="H77" s="120"/>
      <c r="I77" s="120"/>
      <c r="J77" s="120"/>
      <c r="K77" s="120"/>
      <c r="L77" s="51"/>
    </row>
    <row r="78" spans="1:12" ht="13.5" customHeight="1" x14ac:dyDescent="0.25">
      <c r="A78" s="11"/>
      <c r="B78" s="1"/>
      <c r="C78" s="1"/>
      <c r="D78" s="1" t="s">
        <v>282</v>
      </c>
      <c r="E78" s="1"/>
      <c r="F78" s="51">
        <v>79178932.989999995</v>
      </c>
      <c r="G78" s="51"/>
      <c r="H78" s="51">
        <v>39425.760000000002</v>
      </c>
      <c r="I78" s="51"/>
      <c r="J78" s="51">
        <v>0</v>
      </c>
      <c r="K78" s="51"/>
      <c r="L78" s="51">
        <v>79218358.75</v>
      </c>
    </row>
    <row r="79" spans="1:12" ht="13.5" customHeight="1" x14ac:dyDescent="0.25">
      <c r="A79" s="11"/>
      <c r="B79" s="1"/>
      <c r="C79" s="11" t="s">
        <v>283</v>
      </c>
      <c r="D79" s="1"/>
      <c r="E79" s="1"/>
      <c r="F79" s="51"/>
      <c r="G79" s="51"/>
      <c r="H79" s="51"/>
      <c r="I79" s="51"/>
      <c r="J79" s="51"/>
      <c r="K79" s="51"/>
      <c r="L79" s="51"/>
    </row>
    <row r="80" spans="1:12" ht="13.5" customHeight="1" x14ac:dyDescent="0.25">
      <c r="A80" s="11"/>
      <c r="B80" s="1"/>
      <c r="C80" s="1"/>
      <c r="D80" s="1" t="s">
        <v>284</v>
      </c>
      <c r="E80" s="1"/>
      <c r="F80" s="51">
        <v>24460</v>
      </c>
      <c r="G80" s="51"/>
      <c r="H80" s="51">
        <v>0</v>
      </c>
      <c r="I80" s="51"/>
      <c r="J80" s="51">
        <v>0</v>
      </c>
      <c r="K80" s="51"/>
      <c r="L80" s="51">
        <v>24460</v>
      </c>
    </row>
    <row r="81" spans="1:12" ht="13.5" customHeight="1" x14ac:dyDescent="0.25">
      <c r="A81" s="23"/>
      <c r="B81" s="23"/>
      <c r="C81" s="23" t="s">
        <v>285</v>
      </c>
      <c r="D81" s="23"/>
      <c r="E81" s="23"/>
      <c r="F81" s="112">
        <v>79154472.989999995</v>
      </c>
      <c r="G81" s="112"/>
      <c r="H81" s="112">
        <v>39425.760000000002</v>
      </c>
      <c r="I81" s="112"/>
      <c r="J81" s="112">
        <v>0</v>
      </c>
      <c r="K81" s="112"/>
      <c r="L81" s="112">
        <v>79193898.75</v>
      </c>
    </row>
    <row r="82" spans="1:12" ht="13.5" customHeight="1" x14ac:dyDescent="0.25">
      <c r="A82" s="18" t="s">
        <v>286</v>
      </c>
      <c r="B82" s="23"/>
      <c r="C82" s="23"/>
      <c r="D82" s="23"/>
      <c r="E82" s="17"/>
      <c r="F82" s="112">
        <v>15888276478.950001</v>
      </c>
      <c r="G82" s="112"/>
      <c r="H82" s="112">
        <v>1116127837.8700001</v>
      </c>
      <c r="I82" s="112"/>
      <c r="J82" s="112">
        <v>0</v>
      </c>
      <c r="K82" s="112"/>
      <c r="L82" s="112">
        <v>17004404316.820002</v>
      </c>
    </row>
    <row r="83" spans="1:12" ht="13.5" customHeight="1" x14ac:dyDescent="0.25">
      <c r="A83" s="11" t="s">
        <v>287</v>
      </c>
      <c r="B83" s="10"/>
      <c r="C83" s="11"/>
      <c r="D83" s="11"/>
      <c r="E83" s="11"/>
      <c r="F83" s="120"/>
      <c r="G83" s="120"/>
      <c r="H83" s="120"/>
      <c r="I83" s="120"/>
      <c r="J83" s="120"/>
      <c r="K83" s="120"/>
      <c r="L83" s="51"/>
    </row>
    <row r="84" spans="1:12" ht="13.5" customHeight="1" x14ac:dyDescent="0.25">
      <c r="A84" s="11"/>
      <c r="B84" s="10" t="s">
        <v>288</v>
      </c>
      <c r="C84" s="11"/>
      <c r="D84" s="11"/>
      <c r="E84" s="11"/>
      <c r="F84" s="120"/>
      <c r="G84" s="120"/>
      <c r="H84" s="120"/>
      <c r="I84" s="120"/>
      <c r="J84" s="120"/>
      <c r="K84" s="120"/>
      <c r="L84" s="51"/>
    </row>
    <row r="85" spans="1:12" ht="13.5" customHeight="1" x14ac:dyDescent="0.25">
      <c r="A85" s="11"/>
      <c r="B85" s="11"/>
      <c r="C85" s="11" t="s">
        <v>289</v>
      </c>
      <c r="D85" s="11"/>
      <c r="E85" s="11"/>
      <c r="F85" s="120"/>
      <c r="G85" s="120"/>
      <c r="H85" s="120"/>
      <c r="I85" s="120"/>
      <c r="J85" s="120"/>
      <c r="K85" s="120"/>
      <c r="L85" s="51"/>
    </row>
    <row r="86" spans="1:12" ht="13.5" customHeight="1" x14ac:dyDescent="0.2">
      <c r="A86" s="1"/>
      <c r="B86" s="10"/>
      <c r="C86" s="12"/>
      <c r="D86" s="12" t="s">
        <v>290</v>
      </c>
      <c r="E86" s="1"/>
      <c r="F86" s="51">
        <v>1381426714.04</v>
      </c>
      <c r="G86" s="51"/>
      <c r="H86" s="51">
        <v>0</v>
      </c>
      <c r="I86" s="51"/>
      <c r="J86" s="51">
        <v>0</v>
      </c>
      <c r="K86" s="51"/>
      <c r="L86" s="51">
        <v>1381426714.04</v>
      </c>
    </row>
    <row r="87" spans="1:12" ht="13.5" customHeight="1" x14ac:dyDescent="0.2">
      <c r="A87" s="1"/>
      <c r="B87" s="10"/>
      <c r="C87" s="12"/>
      <c r="D87" s="12" t="s">
        <v>291</v>
      </c>
      <c r="E87" s="1"/>
      <c r="F87" s="51">
        <v>698031802.64999998</v>
      </c>
      <c r="G87" s="51"/>
      <c r="H87" s="51">
        <v>50526505.939999998</v>
      </c>
      <c r="I87" s="51"/>
      <c r="J87" s="51">
        <v>0</v>
      </c>
      <c r="K87" s="51"/>
      <c r="L87" s="51">
        <v>748558308.58999991</v>
      </c>
    </row>
    <row r="88" spans="1:12" ht="13.5" customHeight="1" x14ac:dyDescent="0.25">
      <c r="A88" s="11"/>
      <c r="B88" s="11"/>
      <c r="C88" s="11" t="s">
        <v>292</v>
      </c>
      <c r="D88" s="11"/>
      <c r="E88" s="11"/>
      <c r="F88" s="120"/>
      <c r="G88" s="120"/>
      <c r="H88" s="120"/>
      <c r="I88" s="120"/>
      <c r="J88" s="120"/>
      <c r="K88" s="120"/>
      <c r="L88" s="51"/>
    </row>
    <row r="89" spans="1:12" ht="13.5" customHeight="1" x14ac:dyDescent="0.2">
      <c r="A89" s="1"/>
      <c r="B89" s="10"/>
      <c r="C89" s="12"/>
      <c r="D89" s="12" t="s">
        <v>293</v>
      </c>
      <c r="E89" s="12"/>
      <c r="F89" s="51">
        <v>177346358.84999999</v>
      </c>
      <c r="G89" s="51"/>
      <c r="H89" s="51">
        <v>6065456.2699999996</v>
      </c>
      <c r="I89" s="51"/>
      <c r="J89" s="51">
        <v>0</v>
      </c>
      <c r="K89" s="51"/>
      <c r="L89" s="51">
        <v>183411815.12</v>
      </c>
    </row>
    <row r="90" spans="1:12" ht="13.5" customHeight="1" x14ac:dyDescent="0.2">
      <c r="A90" s="1"/>
      <c r="B90" s="10"/>
      <c r="C90" s="12"/>
      <c r="D90" s="12" t="s">
        <v>294</v>
      </c>
      <c r="E90" s="12"/>
      <c r="F90" s="51">
        <v>7124719.0899999999</v>
      </c>
      <c r="G90" s="51"/>
      <c r="H90" s="51">
        <v>0</v>
      </c>
      <c r="I90" s="51"/>
      <c r="J90" s="51">
        <v>0</v>
      </c>
      <c r="K90" s="51"/>
      <c r="L90" s="51">
        <v>7124719.0899999999</v>
      </c>
    </row>
    <row r="91" spans="1:12" ht="13.5" customHeight="1" x14ac:dyDescent="0.2">
      <c r="A91" s="1"/>
      <c r="B91" s="10"/>
      <c r="C91" s="12"/>
      <c r="D91" s="12" t="s">
        <v>295</v>
      </c>
      <c r="E91" s="12"/>
      <c r="F91" s="51">
        <v>7046627.04</v>
      </c>
      <c r="G91" s="51"/>
      <c r="H91" s="51">
        <v>0</v>
      </c>
      <c r="I91" s="51"/>
      <c r="J91" s="51">
        <v>0</v>
      </c>
      <c r="K91" s="51"/>
      <c r="L91" s="51">
        <v>7046627.04</v>
      </c>
    </row>
    <row r="92" spans="1:12" ht="13.5" customHeight="1" x14ac:dyDescent="0.2">
      <c r="A92" s="1"/>
      <c r="B92" s="10"/>
      <c r="C92" s="12"/>
      <c r="D92" s="12" t="s">
        <v>296</v>
      </c>
      <c r="E92" s="12"/>
      <c r="F92" s="51">
        <v>53091500</v>
      </c>
      <c r="G92" s="51"/>
      <c r="H92" s="51">
        <v>1533000</v>
      </c>
      <c r="I92" s="51"/>
      <c r="J92" s="51">
        <v>0</v>
      </c>
      <c r="K92" s="51"/>
      <c r="L92" s="51">
        <v>54624500</v>
      </c>
    </row>
    <row r="93" spans="1:12" ht="13.5" customHeight="1" x14ac:dyDescent="0.2">
      <c r="A93" s="1"/>
      <c r="B93" s="10"/>
      <c r="C93" s="12"/>
      <c r="D93" s="12" t="s">
        <v>297</v>
      </c>
      <c r="E93" s="12"/>
      <c r="F93" s="51">
        <v>32940375</v>
      </c>
      <c r="G93" s="51"/>
      <c r="H93" s="51">
        <v>0</v>
      </c>
      <c r="I93" s="51"/>
      <c r="J93" s="51">
        <v>0</v>
      </c>
      <c r="K93" s="51"/>
      <c r="L93" s="51">
        <v>32940375</v>
      </c>
    </row>
    <row r="94" spans="1:12" ht="13.5" customHeight="1" x14ac:dyDescent="0.2">
      <c r="A94" s="1"/>
      <c r="B94" s="10"/>
      <c r="C94" s="12"/>
      <c r="D94" s="12" t="s">
        <v>298</v>
      </c>
      <c r="E94" s="12"/>
      <c r="F94" s="51">
        <v>3461775</v>
      </c>
      <c r="G94" s="51"/>
      <c r="H94" s="51">
        <v>0</v>
      </c>
      <c r="I94" s="51"/>
      <c r="J94" s="51">
        <v>0</v>
      </c>
      <c r="K94" s="51"/>
      <c r="L94" s="51">
        <v>3461775</v>
      </c>
    </row>
    <row r="95" spans="1:12" ht="13.5" customHeight="1" x14ac:dyDescent="0.2">
      <c r="A95" s="1"/>
      <c r="B95" s="10"/>
      <c r="C95" s="12"/>
      <c r="D95" s="12" t="s">
        <v>299</v>
      </c>
      <c r="E95" s="12"/>
      <c r="F95" s="51">
        <v>12105000</v>
      </c>
      <c r="G95" s="51"/>
      <c r="H95" s="51">
        <v>0</v>
      </c>
      <c r="I95" s="51"/>
      <c r="J95" s="51">
        <v>0</v>
      </c>
      <c r="K95" s="51"/>
      <c r="L95" s="51">
        <v>12105000</v>
      </c>
    </row>
    <row r="96" spans="1:12" ht="13.5" customHeight="1" x14ac:dyDescent="0.2">
      <c r="A96" s="1"/>
      <c r="B96" s="10"/>
      <c r="C96" s="12"/>
      <c r="D96" s="12" t="s">
        <v>300</v>
      </c>
      <c r="E96" s="12"/>
      <c r="F96" s="51">
        <v>15400686.99</v>
      </c>
      <c r="G96" s="51"/>
      <c r="H96" s="51">
        <v>0</v>
      </c>
      <c r="I96" s="51"/>
      <c r="J96" s="51">
        <v>0</v>
      </c>
      <c r="K96" s="51"/>
      <c r="L96" s="51">
        <v>15400686.99</v>
      </c>
    </row>
    <row r="97" spans="1:12" ht="13.5" customHeight="1" x14ac:dyDescent="0.2">
      <c r="A97" s="1"/>
      <c r="B97" s="10"/>
      <c r="C97" s="12"/>
      <c r="D97" s="12" t="s">
        <v>301</v>
      </c>
      <c r="E97" s="12"/>
      <c r="F97" s="51">
        <v>208723243.94</v>
      </c>
      <c r="G97" s="51"/>
      <c r="H97" s="51">
        <v>0</v>
      </c>
      <c r="I97" s="51"/>
      <c r="J97" s="51">
        <v>0</v>
      </c>
      <c r="K97" s="51"/>
      <c r="L97" s="51">
        <v>208723243.94</v>
      </c>
    </row>
    <row r="98" spans="1:12" ht="13.5" customHeight="1" x14ac:dyDescent="0.2">
      <c r="A98" s="1"/>
      <c r="B98" s="10"/>
      <c r="C98" s="12"/>
      <c r="D98" s="12" t="s">
        <v>302</v>
      </c>
      <c r="E98" s="12"/>
      <c r="F98" s="51">
        <v>3810000</v>
      </c>
      <c r="G98" s="51"/>
      <c r="H98" s="51">
        <v>0</v>
      </c>
      <c r="I98" s="51"/>
      <c r="J98" s="51">
        <v>0</v>
      </c>
      <c r="K98" s="51"/>
      <c r="L98" s="51">
        <v>3810000</v>
      </c>
    </row>
    <row r="99" spans="1:12" ht="13.5" customHeight="1" x14ac:dyDescent="0.2">
      <c r="A99" s="1"/>
      <c r="B99" s="10"/>
      <c r="C99" s="12"/>
      <c r="D99" s="12" t="s">
        <v>303</v>
      </c>
      <c r="E99" s="12"/>
      <c r="F99" s="51">
        <v>56233031.640000001</v>
      </c>
      <c r="G99" s="51"/>
      <c r="H99" s="51">
        <v>0</v>
      </c>
      <c r="I99" s="51"/>
      <c r="J99" s="51">
        <v>0</v>
      </c>
      <c r="K99" s="51"/>
      <c r="L99" s="51">
        <v>56233031.640000001</v>
      </c>
    </row>
    <row r="100" spans="1:12" ht="13.5" customHeight="1" x14ac:dyDescent="0.2">
      <c r="A100" s="1"/>
      <c r="B100" s="10"/>
      <c r="C100" s="12"/>
      <c r="D100" s="12" t="s">
        <v>304</v>
      </c>
      <c r="E100" s="12"/>
      <c r="F100" s="51">
        <v>342061016.39999998</v>
      </c>
      <c r="G100" s="51"/>
      <c r="H100" s="51">
        <v>8000475</v>
      </c>
      <c r="I100" s="51"/>
      <c r="J100" s="51">
        <v>0</v>
      </c>
      <c r="K100" s="51"/>
      <c r="L100" s="51">
        <v>350061491.39999998</v>
      </c>
    </row>
    <row r="101" spans="1:12" ht="13.5" customHeight="1" x14ac:dyDescent="0.2">
      <c r="A101" s="1"/>
      <c r="B101" s="10"/>
      <c r="C101" s="12"/>
      <c r="D101" s="12" t="s">
        <v>305</v>
      </c>
      <c r="E101" s="12"/>
      <c r="F101" s="51">
        <v>39415000</v>
      </c>
      <c r="G101" s="51"/>
      <c r="H101" s="51">
        <v>1111000</v>
      </c>
      <c r="I101" s="51"/>
      <c r="J101" s="51">
        <v>0</v>
      </c>
      <c r="K101" s="51"/>
      <c r="L101" s="51">
        <v>40526000</v>
      </c>
    </row>
    <row r="102" spans="1:12" ht="13.5" customHeight="1" x14ac:dyDescent="0.2">
      <c r="A102" s="1"/>
      <c r="B102" s="10"/>
      <c r="C102" s="12"/>
      <c r="D102" s="12" t="s">
        <v>306</v>
      </c>
      <c r="E102" s="12"/>
      <c r="F102" s="51">
        <v>0</v>
      </c>
      <c r="G102" s="51"/>
      <c r="H102" s="51">
        <v>286000</v>
      </c>
      <c r="I102" s="51"/>
      <c r="J102" s="51">
        <v>0</v>
      </c>
      <c r="K102" s="51"/>
      <c r="L102" s="51">
        <v>286000</v>
      </c>
    </row>
    <row r="103" spans="1:12" ht="13.5" customHeight="1" x14ac:dyDescent="0.25">
      <c r="A103" s="11"/>
      <c r="B103" s="11"/>
      <c r="C103" s="11" t="s">
        <v>307</v>
      </c>
      <c r="D103" s="11"/>
      <c r="E103" s="11"/>
      <c r="F103" s="120"/>
      <c r="G103" s="120"/>
      <c r="H103" s="120"/>
      <c r="I103" s="120"/>
      <c r="J103" s="120"/>
      <c r="K103" s="120"/>
      <c r="L103" s="51"/>
    </row>
    <row r="104" spans="1:12" ht="13.5" customHeight="1" x14ac:dyDescent="0.2">
      <c r="A104" s="1"/>
      <c r="B104" s="10"/>
      <c r="C104" s="12"/>
      <c r="D104" s="12" t="s">
        <v>308</v>
      </c>
      <c r="E104" s="4"/>
      <c r="F104" s="51">
        <v>248725137.40000001</v>
      </c>
      <c r="G104" s="51"/>
      <c r="H104" s="51">
        <v>6174060.29</v>
      </c>
      <c r="I104" s="51"/>
      <c r="J104" s="51">
        <v>0</v>
      </c>
      <c r="K104" s="51"/>
      <c r="L104" s="51">
        <v>254899197.69</v>
      </c>
    </row>
    <row r="105" spans="1:12" ht="13.5" customHeight="1" x14ac:dyDescent="0.2">
      <c r="A105" s="1"/>
      <c r="B105" s="10"/>
      <c r="C105" s="12"/>
      <c r="D105" s="12" t="s">
        <v>309</v>
      </c>
      <c r="E105" s="4"/>
      <c r="F105" s="51">
        <v>17254800</v>
      </c>
      <c r="G105" s="51"/>
      <c r="H105" s="51">
        <v>580400</v>
      </c>
      <c r="I105" s="51"/>
      <c r="J105" s="51">
        <v>0</v>
      </c>
      <c r="K105" s="51"/>
      <c r="L105" s="51">
        <v>17835200</v>
      </c>
    </row>
    <row r="106" spans="1:12" ht="13.5" customHeight="1" x14ac:dyDescent="0.2">
      <c r="A106" s="1"/>
      <c r="B106" s="10"/>
      <c r="C106" s="12"/>
      <c r="D106" s="12" t="s">
        <v>310</v>
      </c>
      <c r="E106" s="4"/>
      <c r="F106" s="51">
        <v>52022145.549999997</v>
      </c>
      <c r="G106" s="51"/>
      <c r="H106" s="51">
        <v>1269157.29</v>
      </c>
      <c r="I106" s="51"/>
      <c r="J106" s="51">
        <v>0</v>
      </c>
      <c r="K106" s="51"/>
      <c r="L106" s="51">
        <v>53291302.839999996</v>
      </c>
    </row>
    <row r="107" spans="1:12" ht="13.5" customHeight="1" x14ac:dyDescent="0.2">
      <c r="A107" s="1"/>
      <c r="B107" s="10"/>
      <c r="C107" s="12"/>
      <c r="D107" s="12" t="s">
        <v>311</v>
      </c>
      <c r="E107" s="4"/>
      <c r="F107" s="51">
        <v>9044187.9299999997</v>
      </c>
      <c r="G107" s="51"/>
      <c r="H107" s="51">
        <v>308800</v>
      </c>
      <c r="I107" s="51"/>
      <c r="J107" s="51">
        <v>0</v>
      </c>
      <c r="K107" s="51"/>
      <c r="L107" s="51">
        <v>9352987.9299999997</v>
      </c>
    </row>
    <row r="108" spans="1:12" ht="13.5" customHeight="1" x14ac:dyDescent="0.25">
      <c r="A108" s="11"/>
      <c r="B108" s="11"/>
      <c r="C108" s="11" t="s">
        <v>312</v>
      </c>
      <c r="D108" s="11"/>
      <c r="E108" s="11"/>
      <c r="F108" s="120"/>
      <c r="G108" s="120"/>
      <c r="H108" s="120"/>
      <c r="I108" s="120"/>
      <c r="J108" s="120"/>
      <c r="K108" s="120"/>
      <c r="L108" s="51"/>
    </row>
    <row r="109" spans="1:12" ht="13.5" customHeight="1" x14ac:dyDescent="0.2">
      <c r="A109" s="1"/>
      <c r="B109" s="10"/>
      <c r="C109" s="12"/>
      <c r="D109" s="12" t="s">
        <v>313</v>
      </c>
      <c r="E109" s="1"/>
      <c r="F109" s="51">
        <v>51431065.020000003</v>
      </c>
      <c r="G109" s="51"/>
      <c r="H109" s="51">
        <v>0</v>
      </c>
      <c r="I109" s="51"/>
      <c r="J109" s="51">
        <v>0</v>
      </c>
      <c r="K109" s="51"/>
      <c r="L109" s="51">
        <v>51431065.020000003</v>
      </c>
    </row>
    <row r="110" spans="1:12" ht="13.5" customHeight="1" x14ac:dyDescent="0.2">
      <c r="A110" s="1"/>
      <c r="B110" s="10"/>
      <c r="C110" s="12"/>
      <c r="D110" s="12" t="s">
        <v>312</v>
      </c>
      <c r="E110" s="1"/>
      <c r="F110" s="51">
        <v>354319152.32999998</v>
      </c>
      <c r="G110" s="51"/>
      <c r="H110" s="51">
        <v>9091077.9000000004</v>
      </c>
      <c r="I110" s="51"/>
      <c r="J110" s="51">
        <v>0</v>
      </c>
      <c r="K110" s="51"/>
      <c r="L110" s="51">
        <v>363410230.22999996</v>
      </c>
    </row>
    <row r="111" spans="1:12" ht="13.5" customHeight="1" x14ac:dyDescent="0.25">
      <c r="A111" s="23"/>
      <c r="B111" s="18"/>
      <c r="C111" s="18" t="s">
        <v>314</v>
      </c>
      <c r="D111" s="23"/>
      <c r="E111" s="23"/>
      <c r="F111" s="112">
        <v>3771014338.8699999</v>
      </c>
      <c r="G111" s="112"/>
      <c r="H111" s="112">
        <v>84945932.690000013</v>
      </c>
      <c r="I111" s="112"/>
      <c r="J111" s="112">
        <v>0</v>
      </c>
      <c r="K111" s="112"/>
      <c r="L111" s="112">
        <v>3855960271.5599999</v>
      </c>
    </row>
    <row r="112" spans="1:12" ht="13.5" customHeight="1" x14ac:dyDescent="0.25">
      <c r="A112" s="11"/>
      <c r="B112" s="10" t="s">
        <v>315</v>
      </c>
      <c r="C112" s="7"/>
      <c r="D112" s="11"/>
      <c r="E112" s="11"/>
      <c r="F112" s="51"/>
      <c r="G112" s="51"/>
      <c r="H112" s="51"/>
      <c r="I112" s="51"/>
      <c r="J112" s="51"/>
      <c r="K112" s="51"/>
      <c r="L112" s="51"/>
    </row>
    <row r="113" spans="1:12" ht="13.5" customHeight="1" x14ac:dyDescent="0.25">
      <c r="A113" s="11"/>
      <c r="B113" s="10"/>
      <c r="C113" s="10" t="s">
        <v>316</v>
      </c>
      <c r="D113" s="1"/>
      <c r="E113" s="11"/>
      <c r="F113" s="51"/>
      <c r="G113" s="51"/>
      <c r="H113" s="51"/>
      <c r="I113" s="51"/>
      <c r="J113" s="51"/>
      <c r="K113" s="51"/>
      <c r="L113" s="51"/>
    </row>
    <row r="114" spans="1:12" ht="13.5" customHeight="1" x14ac:dyDescent="0.2">
      <c r="A114" s="1"/>
      <c r="B114" s="10"/>
      <c r="C114" s="12"/>
      <c r="D114" s="12" t="s">
        <v>317</v>
      </c>
      <c r="E114" s="1"/>
      <c r="F114" s="51">
        <v>12300320.199999999</v>
      </c>
      <c r="G114" s="51"/>
      <c r="H114" s="51">
        <v>4341958.5</v>
      </c>
      <c r="I114" s="51"/>
      <c r="J114" s="51">
        <v>0</v>
      </c>
      <c r="K114" s="51"/>
      <c r="L114" s="51">
        <v>16642278.699999999</v>
      </c>
    </row>
    <row r="115" spans="1:12" ht="13.5" customHeight="1" x14ac:dyDescent="0.2">
      <c r="A115" s="1"/>
      <c r="B115" s="10"/>
      <c r="C115" s="12"/>
      <c r="D115" s="12" t="s">
        <v>318</v>
      </c>
      <c r="E115" s="1"/>
      <c r="F115" s="51">
        <v>2536891.63</v>
      </c>
      <c r="G115" s="51"/>
      <c r="H115" s="51">
        <v>0</v>
      </c>
      <c r="I115" s="51"/>
      <c r="J115" s="51">
        <v>0</v>
      </c>
      <c r="K115" s="51"/>
      <c r="L115" s="51">
        <v>2536891.63</v>
      </c>
    </row>
    <row r="116" spans="1:12" ht="13.5" customHeight="1" x14ac:dyDescent="0.25">
      <c r="A116" s="11"/>
      <c r="B116" s="10"/>
      <c r="C116" s="10" t="s">
        <v>319</v>
      </c>
      <c r="D116" s="1"/>
      <c r="E116" s="11"/>
      <c r="F116" s="51"/>
      <c r="G116" s="51"/>
      <c r="H116" s="51"/>
      <c r="I116" s="51"/>
      <c r="J116" s="51"/>
      <c r="K116" s="51"/>
      <c r="L116" s="51"/>
    </row>
    <row r="117" spans="1:12" ht="13.5" customHeight="1" x14ac:dyDescent="0.2">
      <c r="A117" s="1"/>
      <c r="B117" s="10"/>
      <c r="C117" s="12"/>
      <c r="D117" s="12" t="s">
        <v>320</v>
      </c>
      <c r="E117" s="1"/>
      <c r="F117" s="51">
        <v>235200141.56999999</v>
      </c>
      <c r="G117" s="51"/>
      <c r="H117" s="51">
        <v>5804300</v>
      </c>
      <c r="I117" s="51"/>
      <c r="J117" s="51">
        <v>0</v>
      </c>
      <c r="K117" s="51"/>
      <c r="L117" s="51">
        <v>241004441.56999999</v>
      </c>
    </row>
    <row r="118" spans="1:12" ht="13.5" customHeight="1" x14ac:dyDescent="0.2">
      <c r="A118" s="1"/>
      <c r="B118" s="10"/>
      <c r="C118" s="12"/>
      <c r="D118" s="12" t="s">
        <v>321</v>
      </c>
      <c r="E118" s="1"/>
      <c r="F118" s="51">
        <v>591055077.96000004</v>
      </c>
      <c r="G118" s="51"/>
      <c r="H118" s="51">
        <v>0</v>
      </c>
      <c r="I118" s="51"/>
      <c r="J118" s="51">
        <v>0</v>
      </c>
      <c r="K118" s="51"/>
      <c r="L118" s="51">
        <v>591055077.96000004</v>
      </c>
    </row>
    <row r="119" spans="1:12" ht="13.5" customHeight="1" x14ac:dyDescent="0.25">
      <c r="A119" s="11"/>
      <c r="B119" s="10"/>
      <c r="C119" s="10" t="s">
        <v>322</v>
      </c>
      <c r="D119" s="1"/>
      <c r="E119" s="11"/>
      <c r="F119" s="51"/>
      <c r="G119" s="51"/>
      <c r="H119" s="51"/>
      <c r="I119" s="51"/>
      <c r="J119" s="51"/>
      <c r="K119" s="51"/>
      <c r="L119" s="51"/>
    </row>
    <row r="120" spans="1:12" ht="13.5" customHeight="1" x14ac:dyDescent="0.2">
      <c r="A120" s="1"/>
      <c r="B120" s="10"/>
      <c r="C120" s="12"/>
      <c r="D120" s="12" t="s">
        <v>323</v>
      </c>
      <c r="E120" s="12"/>
      <c r="F120" s="51">
        <v>15741680.58</v>
      </c>
      <c r="G120" s="51"/>
      <c r="H120" s="51">
        <v>9178726.8000000007</v>
      </c>
      <c r="I120" s="51"/>
      <c r="J120" s="51">
        <v>0</v>
      </c>
      <c r="K120" s="51"/>
      <c r="L120" s="51">
        <v>24920407.380000003</v>
      </c>
    </row>
    <row r="121" spans="1:12" ht="13.5" customHeight="1" x14ac:dyDescent="0.2">
      <c r="A121" s="1"/>
      <c r="B121" s="10"/>
      <c r="C121" s="12"/>
      <c r="D121" s="12" t="s">
        <v>324</v>
      </c>
      <c r="E121" s="12"/>
      <c r="F121" s="51">
        <v>754667.5</v>
      </c>
      <c r="G121" s="51"/>
      <c r="H121" s="51">
        <v>0</v>
      </c>
      <c r="I121" s="51"/>
      <c r="J121" s="51">
        <v>0</v>
      </c>
      <c r="K121" s="51"/>
      <c r="L121" s="51">
        <v>754667.5</v>
      </c>
    </row>
    <row r="122" spans="1:12" ht="13.5" customHeight="1" x14ac:dyDescent="0.2">
      <c r="A122" s="1"/>
      <c r="B122" s="10"/>
      <c r="C122" s="12"/>
      <c r="D122" s="12" t="s">
        <v>325</v>
      </c>
      <c r="E122" s="12"/>
      <c r="F122" s="51">
        <v>946425.17</v>
      </c>
      <c r="G122" s="51"/>
      <c r="H122" s="51">
        <v>0</v>
      </c>
      <c r="I122" s="51"/>
      <c r="J122" s="51">
        <v>0</v>
      </c>
      <c r="K122" s="51"/>
      <c r="L122" s="51">
        <v>946425.17</v>
      </c>
    </row>
    <row r="123" spans="1:12" ht="13.5" customHeight="1" x14ac:dyDescent="0.2">
      <c r="A123" s="1"/>
      <c r="B123" s="10"/>
      <c r="C123" s="12"/>
      <c r="D123" s="12" t="s">
        <v>326</v>
      </c>
      <c r="E123" s="12"/>
      <c r="F123" s="51">
        <v>3912065</v>
      </c>
      <c r="G123" s="51"/>
      <c r="H123" s="51">
        <v>0</v>
      </c>
      <c r="I123" s="51"/>
      <c r="J123" s="51">
        <v>0</v>
      </c>
      <c r="K123" s="51"/>
      <c r="L123" s="51">
        <v>3912065</v>
      </c>
    </row>
    <row r="124" spans="1:12" ht="13.5" customHeight="1" x14ac:dyDescent="0.2">
      <c r="A124" s="1"/>
      <c r="B124" s="10"/>
      <c r="C124" s="12"/>
      <c r="D124" s="12" t="s">
        <v>327</v>
      </c>
      <c r="E124" s="12"/>
      <c r="F124" s="51">
        <v>27343120.219999999</v>
      </c>
      <c r="G124" s="51"/>
      <c r="H124" s="51">
        <v>0</v>
      </c>
      <c r="I124" s="51"/>
      <c r="J124" s="51">
        <v>0</v>
      </c>
      <c r="K124" s="51"/>
      <c r="L124" s="51">
        <v>27343120.219999999</v>
      </c>
    </row>
    <row r="125" spans="1:12" ht="13.5" customHeight="1" x14ac:dyDescent="0.2">
      <c r="A125" s="1"/>
      <c r="B125" s="10"/>
      <c r="C125" s="12"/>
      <c r="D125" s="12" t="s">
        <v>328</v>
      </c>
      <c r="E125" s="12"/>
      <c r="F125" s="51">
        <v>11175000</v>
      </c>
      <c r="G125" s="51"/>
      <c r="H125" s="51">
        <v>0</v>
      </c>
      <c r="I125" s="51"/>
      <c r="J125" s="51">
        <v>0</v>
      </c>
      <c r="K125" s="51"/>
      <c r="L125" s="51">
        <v>11175000</v>
      </c>
    </row>
    <row r="126" spans="1:12" ht="13.5" customHeight="1" x14ac:dyDescent="0.2">
      <c r="A126" s="1"/>
      <c r="B126" s="10"/>
      <c r="C126" s="12"/>
      <c r="D126" s="12" t="s">
        <v>329</v>
      </c>
      <c r="E126" s="12"/>
      <c r="F126" s="51">
        <v>252411406.52000001</v>
      </c>
      <c r="G126" s="51"/>
      <c r="H126" s="51">
        <v>0</v>
      </c>
      <c r="I126" s="51"/>
      <c r="J126" s="51">
        <v>0</v>
      </c>
      <c r="K126" s="51"/>
      <c r="L126" s="51">
        <v>252411406.52000001</v>
      </c>
    </row>
    <row r="127" spans="1:12" ht="13.5" customHeight="1" x14ac:dyDescent="0.2">
      <c r="A127" s="1"/>
      <c r="B127" s="10"/>
      <c r="C127" s="12"/>
      <c r="D127" s="12" t="s">
        <v>330</v>
      </c>
      <c r="E127" s="12"/>
      <c r="F127" s="51">
        <v>213750785.25</v>
      </c>
      <c r="G127" s="51"/>
      <c r="H127" s="51">
        <v>0</v>
      </c>
      <c r="I127" s="51"/>
      <c r="J127" s="51">
        <v>0</v>
      </c>
      <c r="K127" s="51"/>
      <c r="L127" s="51">
        <v>213750785.25</v>
      </c>
    </row>
    <row r="128" spans="1:12" ht="13.5" customHeight="1" x14ac:dyDescent="0.2">
      <c r="A128" s="1"/>
      <c r="B128" s="10"/>
      <c r="C128" s="12"/>
      <c r="D128" s="12" t="s">
        <v>331</v>
      </c>
      <c r="E128" s="12"/>
      <c r="F128" s="51">
        <v>44763246.57</v>
      </c>
      <c r="G128" s="51"/>
      <c r="H128" s="51">
        <v>0</v>
      </c>
      <c r="I128" s="51"/>
      <c r="J128" s="51">
        <v>0</v>
      </c>
      <c r="K128" s="51"/>
      <c r="L128" s="51">
        <v>44763246.57</v>
      </c>
    </row>
    <row r="129" spans="1:12" ht="13.5" customHeight="1" x14ac:dyDescent="0.2">
      <c r="A129" s="1"/>
      <c r="B129" s="10"/>
      <c r="C129" s="12"/>
      <c r="D129" s="12" t="s">
        <v>332</v>
      </c>
      <c r="E129" s="12"/>
      <c r="F129" s="51">
        <v>440589.1</v>
      </c>
      <c r="G129" s="51"/>
      <c r="H129" s="51">
        <v>0</v>
      </c>
      <c r="I129" s="51"/>
      <c r="J129" s="51">
        <v>0</v>
      </c>
      <c r="K129" s="51"/>
      <c r="L129" s="51">
        <v>440589.1</v>
      </c>
    </row>
    <row r="130" spans="1:12" ht="13.5" customHeight="1" x14ac:dyDescent="0.2">
      <c r="A130" s="1"/>
      <c r="B130" s="10"/>
      <c r="C130" s="12"/>
      <c r="D130" s="12" t="s">
        <v>333</v>
      </c>
      <c r="E130" s="12"/>
      <c r="F130" s="51">
        <v>2266425</v>
      </c>
      <c r="G130" s="51"/>
      <c r="H130" s="51">
        <v>0</v>
      </c>
      <c r="I130" s="51"/>
      <c r="J130" s="51">
        <v>0</v>
      </c>
      <c r="K130" s="51"/>
      <c r="L130" s="51">
        <v>2266425</v>
      </c>
    </row>
    <row r="131" spans="1:12" ht="13.5" customHeight="1" x14ac:dyDescent="0.2">
      <c r="A131" s="1"/>
      <c r="B131" s="10"/>
      <c r="C131" s="12"/>
      <c r="D131" s="12" t="s">
        <v>334</v>
      </c>
      <c r="E131" s="12"/>
      <c r="F131" s="51">
        <v>46887542</v>
      </c>
      <c r="G131" s="51"/>
      <c r="H131" s="51">
        <v>0</v>
      </c>
      <c r="I131" s="51"/>
      <c r="J131" s="51">
        <v>0</v>
      </c>
      <c r="K131" s="51"/>
      <c r="L131" s="51">
        <v>46887542</v>
      </c>
    </row>
    <row r="132" spans="1:12" ht="13.5" customHeight="1" x14ac:dyDescent="0.2">
      <c r="A132" s="1"/>
      <c r="B132" s="10"/>
      <c r="C132" s="12"/>
      <c r="D132" s="12" t="s">
        <v>335</v>
      </c>
      <c r="E132" s="12"/>
      <c r="F132" s="51">
        <v>49697845.270000003</v>
      </c>
      <c r="G132" s="51"/>
      <c r="H132" s="51">
        <v>619000</v>
      </c>
      <c r="I132" s="51"/>
      <c r="J132" s="51">
        <v>0</v>
      </c>
      <c r="K132" s="51"/>
      <c r="L132" s="51">
        <v>50316845.270000003</v>
      </c>
    </row>
    <row r="133" spans="1:12" ht="13.5" customHeight="1" x14ac:dyDescent="0.2">
      <c r="A133" s="1"/>
      <c r="B133" s="10"/>
      <c r="C133" s="12"/>
      <c r="D133" s="12" t="s">
        <v>336</v>
      </c>
      <c r="E133" s="12"/>
      <c r="F133" s="51">
        <v>7064659.9699999997</v>
      </c>
      <c r="G133" s="51"/>
      <c r="H133" s="51">
        <v>0</v>
      </c>
      <c r="I133" s="51"/>
      <c r="J133" s="51">
        <v>0</v>
      </c>
      <c r="K133" s="51"/>
      <c r="L133" s="51">
        <v>7064659.9699999997</v>
      </c>
    </row>
    <row r="134" spans="1:12" ht="13.5" customHeight="1" x14ac:dyDescent="0.2">
      <c r="A134" s="1"/>
      <c r="B134" s="10"/>
      <c r="C134" s="12"/>
      <c r="D134" s="12" t="s">
        <v>337</v>
      </c>
      <c r="E134" s="12"/>
      <c r="F134" s="51">
        <v>600295303.69000006</v>
      </c>
      <c r="G134" s="51"/>
      <c r="H134" s="51">
        <v>0</v>
      </c>
      <c r="I134" s="51"/>
      <c r="J134" s="51">
        <v>0</v>
      </c>
      <c r="K134" s="51"/>
      <c r="L134" s="51">
        <v>600295303.69000006</v>
      </c>
    </row>
    <row r="135" spans="1:12" ht="13.5" customHeight="1" x14ac:dyDescent="0.25">
      <c r="A135" s="11"/>
      <c r="B135" s="10"/>
      <c r="C135" s="10" t="s">
        <v>338</v>
      </c>
      <c r="D135" s="1"/>
      <c r="E135" s="11"/>
      <c r="F135" s="51"/>
      <c r="G135" s="51"/>
      <c r="H135" s="51"/>
      <c r="I135" s="51"/>
      <c r="J135" s="51"/>
      <c r="K135" s="51"/>
      <c r="L135" s="51"/>
    </row>
    <row r="136" spans="1:12" ht="13.5" customHeight="1" x14ac:dyDescent="0.2">
      <c r="A136" s="1"/>
      <c r="B136" s="10"/>
      <c r="C136" s="12"/>
      <c r="D136" s="12" t="s">
        <v>339</v>
      </c>
      <c r="E136" s="1"/>
      <c r="F136" s="51">
        <v>75791643.060000002</v>
      </c>
      <c r="G136" s="51"/>
      <c r="H136" s="51">
        <v>1836235.87</v>
      </c>
      <c r="I136" s="51"/>
      <c r="J136" s="51">
        <v>0</v>
      </c>
      <c r="K136" s="51"/>
      <c r="L136" s="51">
        <v>77627878.930000007</v>
      </c>
    </row>
    <row r="137" spans="1:12" ht="13.5" customHeight="1" x14ac:dyDescent="0.2">
      <c r="A137" s="1"/>
      <c r="B137" s="10"/>
      <c r="C137" s="12"/>
      <c r="D137" s="12" t="s">
        <v>340</v>
      </c>
      <c r="E137" s="1"/>
      <c r="F137" s="51">
        <v>323931909.73000002</v>
      </c>
      <c r="G137" s="51"/>
      <c r="H137" s="51">
        <v>97561232.349999994</v>
      </c>
      <c r="I137" s="51"/>
      <c r="J137" s="51">
        <v>0</v>
      </c>
      <c r="K137" s="51"/>
      <c r="L137" s="51">
        <v>421493142.08000004</v>
      </c>
    </row>
    <row r="138" spans="1:12" ht="13.5" customHeight="1" x14ac:dyDescent="0.25">
      <c r="A138" s="11"/>
      <c r="B138" s="10"/>
      <c r="C138" s="10" t="s">
        <v>341</v>
      </c>
      <c r="D138" s="1"/>
      <c r="E138" s="11"/>
      <c r="F138" s="51"/>
      <c r="G138" s="51"/>
      <c r="H138" s="51"/>
      <c r="I138" s="51"/>
      <c r="J138" s="51"/>
      <c r="K138" s="51"/>
      <c r="L138" s="51"/>
    </row>
    <row r="139" spans="1:12" ht="13.5" customHeight="1" x14ac:dyDescent="0.2">
      <c r="A139" s="1"/>
      <c r="B139" s="10"/>
      <c r="C139" s="12"/>
      <c r="D139" s="12" t="s">
        <v>342</v>
      </c>
      <c r="E139" s="12"/>
      <c r="F139" s="51">
        <v>1980</v>
      </c>
      <c r="G139" s="51"/>
      <c r="H139" s="51">
        <v>0</v>
      </c>
      <c r="I139" s="51"/>
      <c r="J139" s="51">
        <v>0</v>
      </c>
      <c r="K139" s="51"/>
      <c r="L139" s="51">
        <v>1980</v>
      </c>
    </row>
    <row r="140" spans="1:12" ht="13.5" customHeight="1" x14ac:dyDescent="0.2">
      <c r="A140" s="1"/>
      <c r="B140" s="10"/>
      <c r="C140" s="12"/>
      <c r="D140" s="12" t="s">
        <v>343</v>
      </c>
      <c r="E140" s="12"/>
      <c r="F140" s="51">
        <v>4722146.13</v>
      </c>
      <c r="G140" s="51"/>
      <c r="H140" s="51">
        <v>0</v>
      </c>
      <c r="I140" s="51"/>
      <c r="J140" s="51">
        <v>0</v>
      </c>
      <c r="K140" s="51"/>
      <c r="L140" s="51">
        <v>4722146.13</v>
      </c>
    </row>
    <row r="141" spans="1:12" ht="13.5" customHeight="1" x14ac:dyDescent="0.2">
      <c r="A141" s="1"/>
      <c r="B141" s="10"/>
      <c r="C141" s="12"/>
      <c r="D141" s="12" t="s">
        <v>344</v>
      </c>
      <c r="E141" s="12"/>
      <c r="F141" s="51">
        <v>36443891.270000003</v>
      </c>
      <c r="G141" s="51"/>
      <c r="H141" s="51">
        <v>0</v>
      </c>
      <c r="I141" s="51"/>
      <c r="J141" s="51">
        <v>0</v>
      </c>
      <c r="K141" s="51"/>
      <c r="L141" s="51">
        <v>36443891.270000003</v>
      </c>
    </row>
    <row r="142" spans="1:12" ht="13.5" customHeight="1" x14ac:dyDescent="0.25">
      <c r="A142" s="11"/>
      <c r="B142" s="10"/>
      <c r="C142" s="10" t="s">
        <v>345</v>
      </c>
      <c r="D142" s="1"/>
      <c r="E142" s="11"/>
      <c r="F142" s="51"/>
      <c r="G142" s="51"/>
      <c r="H142" s="51"/>
      <c r="I142" s="51"/>
      <c r="J142" s="51"/>
      <c r="K142" s="51"/>
      <c r="L142" s="51"/>
    </row>
    <row r="143" spans="1:12" ht="13.5" customHeight="1" x14ac:dyDescent="0.2">
      <c r="A143" s="1"/>
      <c r="B143" s="10"/>
      <c r="C143" s="12"/>
      <c r="D143" s="12" t="s">
        <v>346</v>
      </c>
      <c r="E143" s="1"/>
      <c r="F143" s="51">
        <v>31640237.199999999</v>
      </c>
      <c r="G143" s="51"/>
      <c r="H143" s="51">
        <v>0</v>
      </c>
      <c r="I143" s="51"/>
      <c r="J143" s="51">
        <v>0</v>
      </c>
      <c r="K143" s="51"/>
      <c r="L143" s="51">
        <v>31640237.199999999</v>
      </c>
    </row>
    <row r="144" spans="1:12" ht="13.5" customHeight="1" x14ac:dyDescent="0.2">
      <c r="A144" s="1"/>
      <c r="B144" s="10"/>
      <c r="C144" s="12"/>
      <c r="D144" s="12" t="s">
        <v>347</v>
      </c>
      <c r="E144" s="1"/>
      <c r="F144" s="51">
        <v>10078230</v>
      </c>
      <c r="G144" s="51"/>
      <c r="H144" s="51">
        <v>120000</v>
      </c>
      <c r="I144" s="51"/>
      <c r="J144" s="51">
        <v>0</v>
      </c>
      <c r="K144" s="51"/>
      <c r="L144" s="51">
        <v>10198230</v>
      </c>
    </row>
    <row r="145" spans="1:12" ht="13.5" customHeight="1" x14ac:dyDescent="0.25">
      <c r="A145" s="11"/>
      <c r="B145" s="10"/>
      <c r="C145" s="10" t="s">
        <v>348</v>
      </c>
      <c r="D145" s="1"/>
      <c r="E145" s="11"/>
      <c r="F145" s="51"/>
      <c r="G145" s="51"/>
      <c r="H145" s="51"/>
      <c r="I145" s="51"/>
      <c r="J145" s="51"/>
      <c r="K145" s="51"/>
      <c r="L145" s="51"/>
    </row>
    <row r="146" spans="1:12" ht="13.5" customHeight="1" x14ac:dyDescent="0.2">
      <c r="A146" s="1"/>
      <c r="B146" s="10"/>
      <c r="C146" s="12"/>
      <c r="D146" s="12" t="s">
        <v>349</v>
      </c>
      <c r="E146" s="1"/>
      <c r="F146" s="51">
        <v>30511</v>
      </c>
      <c r="G146" s="51"/>
      <c r="H146" s="51">
        <v>338200</v>
      </c>
      <c r="I146" s="51"/>
      <c r="J146" s="51">
        <v>0</v>
      </c>
      <c r="K146" s="51"/>
      <c r="L146" s="51">
        <v>368711</v>
      </c>
    </row>
    <row r="147" spans="1:12" ht="13.5" customHeight="1" x14ac:dyDescent="0.25">
      <c r="A147" s="11"/>
      <c r="B147" s="10"/>
      <c r="C147" s="10" t="s">
        <v>350</v>
      </c>
      <c r="D147" s="1"/>
      <c r="E147" s="11"/>
      <c r="F147" s="51"/>
      <c r="G147" s="51"/>
      <c r="H147" s="51"/>
      <c r="I147" s="51"/>
      <c r="J147" s="51"/>
      <c r="K147" s="51"/>
      <c r="L147" s="51"/>
    </row>
    <row r="148" spans="1:12" ht="13.5" customHeight="1" x14ac:dyDescent="0.2">
      <c r="A148" s="1"/>
      <c r="B148" s="10"/>
      <c r="C148" s="12"/>
      <c r="D148" s="12" t="s">
        <v>351</v>
      </c>
      <c r="E148" s="12"/>
      <c r="F148" s="51">
        <v>15769361.48</v>
      </c>
      <c r="G148" s="51"/>
      <c r="H148" s="51">
        <v>0</v>
      </c>
      <c r="I148" s="51"/>
      <c r="J148" s="51">
        <v>0</v>
      </c>
      <c r="K148" s="51"/>
      <c r="L148" s="51">
        <v>15769361.48</v>
      </c>
    </row>
    <row r="149" spans="1:12" ht="13.5" customHeight="1" x14ac:dyDescent="0.2">
      <c r="A149" s="1"/>
      <c r="B149" s="10"/>
      <c r="C149" s="12"/>
      <c r="D149" s="12" t="s">
        <v>352</v>
      </c>
      <c r="E149" s="12"/>
      <c r="F149" s="51">
        <v>18885945.960000001</v>
      </c>
      <c r="G149" s="51"/>
      <c r="H149" s="51">
        <v>0</v>
      </c>
      <c r="I149" s="51"/>
      <c r="J149" s="51">
        <v>0</v>
      </c>
      <c r="K149" s="51"/>
      <c r="L149" s="51">
        <v>18885945.960000001</v>
      </c>
    </row>
    <row r="150" spans="1:12" ht="13.5" customHeight="1" x14ac:dyDescent="0.25">
      <c r="A150" s="11"/>
      <c r="B150" s="10"/>
      <c r="C150" s="10" t="s">
        <v>353</v>
      </c>
      <c r="D150" s="1"/>
      <c r="E150" s="11"/>
      <c r="F150" s="51"/>
      <c r="G150" s="51"/>
      <c r="H150" s="51"/>
      <c r="I150" s="51"/>
      <c r="J150" s="51"/>
      <c r="K150" s="51"/>
      <c r="L150" s="51"/>
    </row>
    <row r="151" spans="1:12" ht="13.5" customHeight="1" x14ac:dyDescent="0.2">
      <c r="A151" s="1"/>
      <c r="B151" s="10"/>
      <c r="C151" s="12"/>
      <c r="D151" s="12" t="s">
        <v>354</v>
      </c>
      <c r="E151" s="12"/>
      <c r="F151" s="51">
        <v>8789715.5700000003</v>
      </c>
      <c r="G151" s="51"/>
      <c r="H151" s="51">
        <v>0</v>
      </c>
      <c r="I151" s="51"/>
      <c r="J151" s="51">
        <v>0</v>
      </c>
      <c r="K151" s="51"/>
      <c r="L151" s="51">
        <v>8789715.5700000003</v>
      </c>
    </row>
    <row r="152" spans="1:12" ht="13.5" customHeight="1" x14ac:dyDescent="0.25">
      <c r="A152" s="11"/>
      <c r="B152" s="10"/>
      <c r="C152" s="10" t="s">
        <v>355</v>
      </c>
      <c r="D152" s="1"/>
      <c r="E152" s="11"/>
      <c r="F152" s="51"/>
      <c r="G152" s="51"/>
      <c r="H152" s="51"/>
      <c r="I152" s="51"/>
      <c r="J152" s="51"/>
      <c r="K152" s="51"/>
      <c r="L152" s="51"/>
    </row>
    <row r="153" spans="1:12" ht="13.5" hidden="1" customHeight="1" x14ac:dyDescent="0.2">
      <c r="A153" s="1"/>
      <c r="B153" s="10"/>
      <c r="C153" s="12"/>
      <c r="D153" s="12" t="s">
        <v>356</v>
      </c>
      <c r="E153" s="1"/>
      <c r="F153" s="51">
        <v>0</v>
      </c>
      <c r="G153" s="51"/>
      <c r="H153" s="51">
        <v>0</v>
      </c>
      <c r="I153" s="51"/>
      <c r="J153" s="51">
        <v>0</v>
      </c>
      <c r="K153" s="51"/>
      <c r="L153" s="51">
        <v>0</v>
      </c>
    </row>
    <row r="154" spans="1:12" ht="13.5" customHeight="1" x14ac:dyDescent="0.2">
      <c r="A154" s="1"/>
      <c r="B154" s="10"/>
      <c r="C154" s="12"/>
      <c r="D154" s="12" t="s">
        <v>357</v>
      </c>
      <c r="E154" s="1"/>
      <c r="F154" s="51">
        <v>12089261.23</v>
      </c>
      <c r="G154" s="51"/>
      <c r="H154" s="51">
        <v>0</v>
      </c>
      <c r="I154" s="51"/>
      <c r="J154" s="51">
        <v>0</v>
      </c>
      <c r="K154" s="51"/>
      <c r="L154" s="51">
        <v>12089261.23</v>
      </c>
    </row>
    <row r="155" spans="1:12" ht="13.5" customHeight="1" x14ac:dyDescent="0.2">
      <c r="A155" s="1"/>
      <c r="B155" s="10"/>
      <c r="C155" s="12"/>
      <c r="D155" s="12" t="s">
        <v>358</v>
      </c>
      <c r="E155" s="1"/>
      <c r="F155" s="51">
        <v>500503619.32999998</v>
      </c>
      <c r="G155" s="51"/>
      <c r="H155" s="51">
        <v>3679447.07</v>
      </c>
      <c r="I155" s="51"/>
      <c r="J155" s="51">
        <v>0</v>
      </c>
      <c r="K155" s="51"/>
      <c r="L155" s="51">
        <v>504183066.39999998</v>
      </c>
    </row>
    <row r="156" spans="1:12" ht="13.5" customHeight="1" x14ac:dyDescent="0.25">
      <c r="A156" s="11"/>
      <c r="B156" s="10"/>
      <c r="C156" s="10" t="s">
        <v>359</v>
      </c>
      <c r="D156" s="1"/>
      <c r="E156" s="11"/>
      <c r="F156" s="51"/>
      <c r="G156" s="51"/>
      <c r="H156" s="51"/>
      <c r="I156" s="51"/>
      <c r="J156" s="51"/>
      <c r="K156" s="51"/>
      <c r="L156" s="51"/>
    </row>
    <row r="157" spans="1:12" ht="13.5" customHeight="1" x14ac:dyDescent="0.2">
      <c r="A157" s="1"/>
      <c r="B157" s="10"/>
      <c r="C157" s="12"/>
      <c r="D157" s="12" t="s">
        <v>360</v>
      </c>
      <c r="E157" s="1"/>
      <c r="F157" s="51">
        <v>509372952.27999997</v>
      </c>
      <c r="G157" s="51"/>
      <c r="H157" s="51">
        <v>0</v>
      </c>
      <c r="I157" s="51"/>
      <c r="J157" s="51">
        <v>0</v>
      </c>
      <c r="K157" s="51"/>
      <c r="L157" s="51">
        <v>509372952.27999997</v>
      </c>
    </row>
    <row r="158" spans="1:12" ht="13.5" customHeight="1" x14ac:dyDescent="0.2">
      <c r="A158" s="1"/>
      <c r="B158" s="10"/>
      <c r="C158" s="12"/>
      <c r="D158" s="12" t="s">
        <v>361</v>
      </c>
      <c r="E158" s="1"/>
      <c r="F158" s="51">
        <v>57292449.880000003</v>
      </c>
      <c r="G158" s="51"/>
      <c r="H158" s="51">
        <v>11795.84</v>
      </c>
      <c r="I158" s="51"/>
      <c r="J158" s="51">
        <v>0</v>
      </c>
      <c r="K158" s="51"/>
      <c r="L158" s="51">
        <v>57304245.720000006</v>
      </c>
    </row>
    <row r="159" spans="1:12" ht="13.5" customHeight="1" x14ac:dyDescent="0.2">
      <c r="A159" s="1"/>
      <c r="B159" s="10"/>
      <c r="C159" s="12"/>
      <c r="D159" s="12" t="s">
        <v>362</v>
      </c>
      <c r="E159" s="1"/>
      <c r="F159" s="51">
        <v>180247086.84</v>
      </c>
      <c r="G159" s="51"/>
      <c r="H159" s="51">
        <v>100369596.77</v>
      </c>
      <c r="I159" s="51"/>
      <c r="J159" s="51">
        <v>0</v>
      </c>
      <c r="K159" s="51"/>
      <c r="L159" s="51">
        <v>280616683.61000001</v>
      </c>
    </row>
    <row r="160" spans="1:12" ht="13.5" customHeight="1" x14ac:dyDescent="0.2">
      <c r="A160" s="1"/>
      <c r="B160" s="10"/>
      <c r="C160" s="12"/>
      <c r="D160" s="12" t="s">
        <v>363</v>
      </c>
      <c r="E160" s="1"/>
      <c r="F160" s="51">
        <v>333884649.68000001</v>
      </c>
      <c r="G160" s="51"/>
      <c r="H160" s="51">
        <v>724279.58</v>
      </c>
      <c r="I160" s="51"/>
      <c r="J160" s="51">
        <v>0</v>
      </c>
      <c r="K160" s="51"/>
      <c r="L160" s="51">
        <v>334608929.25999999</v>
      </c>
    </row>
    <row r="161" spans="1:12" ht="13.5" customHeight="1" x14ac:dyDescent="0.25">
      <c r="A161" s="11"/>
      <c r="B161" s="10"/>
      <c r="C161" s="10" t="s">
        <v>364</v>
      </c>
      <c r="D161" s="1"/>
      <c r="E161" s="11"/>
      <c r="F161" s="51"/>
      <c r="G161" s="51"/>
      <c r="H161" s="51"/>
      <c r="I161" s="51"/>
      <c r="J161" s="51"/>
      <c r="K161" s="51"/>
      <c r="L161" s="51"/>
    </row>
    <row r="162" spans="1:12" ht="13.5" customHeight="1" x14ac:dyDescent="0.25">
      <c r="A162" s="11"/>
      <c r="B162" s="10"/>
      <c r="C162" s="10"/>
      <c r="D162" s="1" t="s">
        <v>365</v>
      </c>
      <c r="E162" s="11"/>
      <c r="F162" s="51">
        <v>1906846.52</v>
      </c>
      <c r="G162" s="51"/>
      <c r="H162" s="51">
        <v>0</v>
      </c>
      <c r="I162" s="51"/>
      <c r="J162" s="51">
        <v>0</v>
      </c>
      <c r="K162" s="51"/>
      <c r="L162" s="51">
        <v>1906846.52</v>
      </c>
    </row>
    <row r="163" spans="1:12" ht="13.5" customHeight="1" x14ac:dyDescent="0.2">
      <c r="A163" s="1"/>
      <c r="B163" s="10"/>
      <c r="C163" s="12"/>
      <c r="D163" s="12" t="s">
        <v>366</v>
      </c>
      <c r="E163" s="1"/>
      <c r="F163" s="51">
        <v>71561115.310000002</v>
      </c>
      <c r="G163" s="51"/>
      <c r="H163" s="51">
        <v>0</v>
      </c>
      <c r="I163" s="51"/>
      <c r="J163" s="51">
        <v>0</v>
      </c>
      <c r="K163" s="51"/>
      <c r="L163" s="51">
        <v>71561115.310000002</v>
      </c>
    </row>
    <row r="164" spans="1:12" ht="13.5" customHeight="1" x14ac:dyDescent="0.25">
      <c r="A164" s="11"/>
      <c r="B164" s="10"/>
      <c r="C164" s="12"/>
      <c r="D164" s="12" t="s">
        <v>367</v>
      </c>
      <c r="E164" s="11"/>
      <c r="F164" s="51">
        <v>45140225.920000002</v>
      </c>
      <c r="G164" s="51"/>
      <c r="H164" s="51">
        <v>31587626.800000001</v>
      </c>
      <c r="I164" s="51"/>
      <c r="J164" s="51">
        <v>0</v>
      </c>
      <c r="K164" s="51"/>
      <c r="L164" s="51">
        <v>76727852.719999999</v>
      </c>
    </row>
    <row r="165" spans="1:12" ht="13.5" customHeight="1" x14ac:dyDescent="0.2">
      <c r="A165" s="1"/>
      <c r="B165" s="10"/>
      <c r="C165" s="12"/>
      <c r="D165" s="12" t="s">
        <v>368</v>
      </c>
      <c r="E165" s="1"/>
      <c r="F165" s="51">
        <v>26106526.309999999</v>
      </c>
      <c r="G165" s="51"/>
      <c r="H165" s="51">
        <v>546117.6</v>
      </c>
      <c r="I165" s="51"/>
      <c r="J165" s="51">
        <v>0</v>
      </c>
      <c r="K165" s="51"/>
      <c r="L165" s="51">
        <v>26652643.91</v>
      </c>
    </row>
    <row r="166" spans="1:12" ht="13.5" customHeight="1" x14ac:dyDescent="0.2">
      <c r="A166" s="1"/>
      <c r="B166" s="10"/>
      <c r="C166" s="12"/>
      <c r="D166" s="12" t="s">
        <v>369</v>
      </c>
      <c r="E166" s="1"/>
      <c r="F166" s="51">
        <v>446171.1</v>
      </c>
      <c r="G166" s="51"/>
      <c r="H166" s="51">
        <v>0</v>
      </c>
      <c r="I166" s="51"/>
      <c r="J166" s="51">
        <v>0</v>
      </c>
      <c r="K166" s="51"/>
      <c r="L166" s="51">
        <v>446171.1</v>
      </c>
    </row>
    <row r="167" spans="1:12" ht="13.5" customHeight="1" x14ac:dyDescent="0.25">
      <c r="A167" s="11"/>
      <c r="B167" s="10"/>
      <c r="C167" s="12"/>
      <c r="D167" s="12" t="s">
        <v>370</v>
      </c>
      <c r="E167" s="11"/>
      <c r="F167" s="51">
        <v>15529233.74</v>
      </c>
      <c r="G167" s="51"/>
      <c r="H167" s="51">
        <v>0</v>
      </c>
      <c r="I167" s="51"/>
      <c r="J167" s="51">
        <v>0</v>
      </c>
      <c r="K167" s="51"/>
      <c r="L167" s="51">
        <v>15529233.74</v>
      </c>
    </row>
    <row r="168" spans="1:12" ht="13.5" customHeight="1" x14ac:dyDescent="0.25">
      <c r="A168" s="11"/>
      <c r="B168" s="10"/>
      <c r="C168" s="10" t="s">
        <v>371</v>
      </c>
      <c r="D168" s="1"/>
      <c r="E168" s="11"/>
      <c r="F168" s="51"/>
      <c r="G168" s="51"/>
      <c r="H168" s="51"/>
      <c r="I168" s="51"/>
      <c r="J168" s="51"/>
      <c r="K168" s="51"/>
      <c r="L168" s="51"/>
    </row>
    <row r="169" spans="1:12" ht="13.5" customHeight="1" x14ac:dyDescent="0.2">
      <c r="A169" s="1"/>
      <c r="B169" s="10"/>
      <c r="C169" s="12"/>
      <c r="D169" s="12" t="s">
        <v>372</v>
      </c>
      <c r="E169" s="1"/>
      <c r="F169" s="51">
        <v>149565174.74000001</v>
      </c>
      <c r="G169" s="51"/>
      <c r="H169" s="51">
        <v>4731403.12</v>
      </c>
      <c r="I169" s="51"/>
      <c r="J169" s="51">
        <v>0</v>
      </c>
      <c r="K169" s="51"/>
      <c r="L169" s="51">
        <v>154296577.86000001</v>
      </c>
    </row>
    <row r="170" spans="1:12" ht="13.5" customHeight="1" x14ac:dyDescent="0.2">
      <c r="A170" s="1"/>
      <c r="B170" s="10"/>
      <c r="C170" s="12"/>
      <c r="D170" s="12" t="s">
        <v>373</v>
      </c>
      <c r="E170" s="1"/>
      <c r="F170" s="51">
        <v>2479307.16</v>
      </c>
      <c r="G170" s="51"/>
      <c r="H170" s="51">
        <v>0</v>
      </c>
      <c r="I170" s="51"/>
      <c r="J170" s="51">
        <v>0</v>
      </c>
      <c r="K170" s="51"/>
      <c r="L170" s="51">
        <v>2479307.16</v>
      </c>
    </row>
    <row r="171" spans="1:12" ht="13.5" customHeight="1" x14ac:dyDescent="0.2">
      <c r="A171" s="1"/>
      <c r="B171" s="10"/>
      <c r="C171" s="12"/>
      <c r="D171" s="12" t="s">
        <v>374</v>
      </c>
      <c r="E171" s="1"/>
      <c r="F171" s="51">
        <v>64824670.390000001</v>
      </c>
      <c r="G171" s="51"/>
      <c r="H171" s="51">
        <v>40130714.979999997</v>
      </c>
      <c r="I171" s="51"/>
      <c r="J171" s="51">
        <v>0</v>
      </c>
      <c r="K171" s="51"/>
      <c r="L171" s="51">
        <v>104955385.37</v>
      </c>
    </row>
    <row r="172" spans="1:12" ht="13.5" customHeight="1" x14ac:dyDescent="0.25">
      <c r="A172" s="11"/>
      <c r="B172" s="10"/>
      <c r="C172" s="10" t="s">
        <v>375</v>
      </c>
      <c r="D172" s="1"/>
      <c r="E172" s="11"/>
      <c r="F172" s="51"/>
      <c r="G172" s="51"/>
      <c r="H172" s="51"/>
      <c r="I172" s="51"/>
      <c r="J172" s="51">
        <v>0</v>
      </c>
      <c r="K172" s="51"/>
      <c r="L172" s="51"/>
    </row>
    <row r="173" spans="1:12" ht="13.5" customHeight="1" x14ac:dyDescent="0.2">
      <c r="A173" s="1"/>
      <c r="B173" s="10"/>
      <c r="C173" s="12"/>
      <c r="D173" s="12" t="s">
        <v>376</v>
      </c>
      <c r="E173" s="12"/>
      <c r="F173" s="51">
        <v>3305318.2</v>
      </c>
      <c r="G173" s="51"/>
      <c r="H173" s="51">
        <v>0</v>
      </c>
      <c r="I173" s="51"/>
      <c r="J173" s="51">
        <v>0</v>
      </c>
      <c r="K173" s="51"/>
      <c r="L173" s="51">
        <v>3305318.2</v>
      </c>
    </row>
    <row r="174" spans="1:12" ht="13.5" customHeight="1" x14ac:dyDescent="0.2">
      <c r="A174" s="1"/>
      <c r="B174" s="10"/>
      <c r="C174" s="12"/>
      <c r="D174" s="12" t="s">
        <v>377</v>
      </c>
      <c r="E174" s="12"/>
      <c r="F174" s="51">
        <v>2761685.06</v>
      </c>
      <c r="G174" s="51"/>
      <c r="H174" s="51">
        <v>0</v>
      </c>
      <c r="I174" s="51"/>
      <c r="J174" s="51">
        <v>0</v>
      </c>
      <c r="K174" s="51"/>
      <c r="L174" s="51">
        <v>2761685.06</v>
      </c>
    </row>
    <row r="175" spans="1:12" ht="13.5" customHeight="1" x14ac:dyDescent="0.2">
      <c r="A175" s="10"/>
      <c r="B175" s="10"/>
      <c r="C175" s="12"/>
      <c r="D175" s="12" t="s">
        <v>378</v>
      </c>
      <c r="E175" s="12"/>
      <c r="F175" s="51">
        <v>37852837</v>
      </c>
      <c r="G175" s="51"/>
      <c r="H175" s="51">
        <v>0</v>
      </c>
      <c r="I175" s="51"/>
      <c r="J175" s="51">
        <v>0</v>
      </c>
      <c r="K175" s="51"/>
      <c r="L175" s="51">
        <v>37852837</v>
      </c>
    </row>
    <row r="176" spans="1:12" ht="13.5" customHeight="1" x14ac:dyDescent="0.25">
      <c r="A176" s="11"/>
      <c r="B176" s="10"/>
      <c r="C176" s="12"/>
      <c r="D176" s="12" t="s">
        <v>379</v>
      </c>
      <c r="E176" s="12"/>
      <c r="F176" s="51">
        <v>91332357.200000003</v>
      </c>
      <c r="G176" s="51"/>
      <c r="H176" s="51">
        <v>5274.6</v>
      </c>
      <c r="I176" s="51"/>
      <c r="J176" s="51">
        <v>0</v>
      </c>
      <c r="K176" s="51"/>
      <c r="L176" s="51">
        <v>91337631.799999997</v>
      </c>
    </row>
    <row r="177" spans="1:12" ht="13.5" customHeight="1" x14ac:dyDescent="0.2">
      <c r="A177" s="1"/>
      <c r="B177" s="10"/>
      <c r="C177" s="12"/>
      <c r="D177" s="12" t="s">
        <v>380</v>
      </c>
      <c r="E177" s="12"/>
      <c r="F177" s="51">
        <v>347497</v>
      </c>
      <c r="G177" s="51"/>
      <c r="H177" s="51">
        <v>0</v>
      </c>
      <c r="I177" s="51"/>
      <c r="J177" s="51">
        <v>0</v>
      </c>
      <c r="K177" s="51"/>
      <c r="L177" s="51">
        <v>347497</v>
      </c>
    </row>
    <row r="178" spans="1:12" ht="13.5" customHeight="1" x14ac:dyDescent="0.2">
      <c r="A178" s="1"/>
      <c r="B178" s="10"/>
      <c r="C178" s="12"/>
      <c r="D178" s="12" t="s">
        <v>381</v>
      </c>
      <c r="E178" s="12"/>
      <c r="F178" s="51">
        <v>9976877.7699999996</v>
      </c>
      <c r="G178" s="51"/>
      <c r="H178" s="51">
        <v>0</v>
      </c>
      <c r="I178" s="51"/>
      <c r="J178" s="51">
        <v>0</v>
      </c>
      <c r="K178" s="51"/>
      <c r="L178" s="51">
        <v>9976877.7699999996</v>
      </c>
    </row>
    <row r="179" spans="1:12" ht="13.5" customHeight="1" x14ac:dyDescent="0.2">
      <c r="A179" s="1"/>
      <c r="B179" s="10"/>
      <c r="C179" s="12"/>
      <c r="D179" s="12" t="s">
        <v>382</v>
      </c>
      <c r="E179" s="12"/>
      <c r="F179" s="51">
        <v>744902528.37</v>
      </c>
      <c r="G179" s="51"/>
      <c r="H179" s="51">
        <v>0</v>
      </c>
      <c r="I179" s="51"/>
      <c r="J179" s="51">
        <v>0</v>
      </c>
      <c r="K179" s="51"/>
      <c r="L179" s="51">
        <v>744902528.37</v>
      </c>
    </row>
    <row r="180" spans="1:12" ht="13.5" customHeight="1" x14ac:dyDescent="0.25">
      <c r="A180" s="11"/>
      <c r="B180" s="10"/>
      <c r="C180" s="12"/>
      <c r="D180" s="12" t="s">
        <v>383</v>
      </c>
      <c r="E180" s="12"/>
      <c r="F180" s="51">
        <v>1258012030.5799999</v>
      </c>
      <c r="G180" s="51"/>
      <c r="H180" s="51">
        <v>246162519.91</v>
      </c>
      <c r="I180" s="51"/>
      <c r="J180" s="51">
        <v>0</v>
      </c>
      <c r="K180" s="51"/>
      <c r="L180" s="51">
        <v>1504174550.49</v>
      </c>
    </row>
    <row r="181" spans="1:12" ht="13.5" customHeight="1" x14ac:dyDescent="0.25">
      <c r="A181" s="23"/>
      <c r="B181" s="18"/>
      <c r="C181" s="23" t="s">
        <v>384</v>
      </c>
      <c r="D181" s="31"/>
      <c r="E181" s="23"/>
      <c r="F181" s="112">
        <v>6764069186.2100019</v>
      </c>
      <c r="G181" s="112"/>
      <c r="H181" s="112">
        <v>547748429.79000008</v>
      </c>
      <c r="I181" s="112"/>
      <c r="J181" s="112">
        <v>0</v>
      </c>
      <c r="K181" s="112"/>
      <c r="L181" s="112">
        <v>7311817616.000001</v>
      </c>
    </row>
    <row r="182" spans="1:12" ht="13.5" customHeight="1" x14ac:dyDescent="0.25">
      <c r="A182" s="11"/>
      <c r="B182" s="10" t="s">
        <v>385</v>
      </c>
      <c r="C182" s="10"/>
      <c r="D182" s="11"/>
      <c r="E182" s="11"/>
      <c r="F182" s="51"/>
      <c r="G182" s="51"/>
      <c r="H182" s="51"/>
      <c r="I182" s="51"/>
      <c r="J182" s="51"/>
      <c r="K182" s="51"/>
      <c r="L182" s="51"/>
    </row>
    <row r="183" spans="1:12" ht="13.5" customHeight="1" x14ac:dyDescent="0.25">
      <c r="A183" s="11"/>
      <c r="B183" s="10"/>
      <c r="C183" s="10" t="s">
        <v>20</v>
      </c>
      <c r="D183" s="11"/>
      <c r="E183" s="11"/>
      <c r="F183" s="51"/>
      <c r="G183" s="51"/>
      <c r="H183" s="51"/>
      <c r="I183" s="51"/>
      <c r="J183" s="51"/>
      <c r="K183" s="51"/>
      <c r="L183" s="51"/>
    </row>
    <row r="184" spans="1:12" ht="13.5" customHeight="1" x14ac:dyDescent="0.2">
      <c r="A184" s="1"/>
      <c r="B184" s="10"/>
      <c r="C184" s="12"/>
      <c r="D184" s="12" t="s">
        <v>386</v>
      </c>
      <c r="E184" s="12"/>
      <c r="F184" s="51">
        <v>558778.53</v>
      </c>
      <c r="G184" s="51"/>
      <c r="H184" s="51">
        <v>0</v>
      </c>
      <c r="I184" s="51"/>
      <c r="J184" s="51">
        <v>0</v>
      </c>
      <c r="K184" s="51"/>
      <c r="L184" s="51">
        <v>558778.53</v>
      </c>
    </row>
    <row r="185" spans="1:12" ht="13.5" customHeight="1" x14ac:dyDescent="0.25">
      <c r="A185" s="31"/>
      <c r="B185" s="18"/>
      <c r="C185" s="23" t="s">
        <v>387</v>
      </c>
      <c r="D185" s="31"/>
      <c r="E185" s="31"/>
      <c r="F185" s="112">
        <v>558778.53</v>
      </c>
      <c r="G185" s="112"/>
      <c r="H185" s="112">
        <v>0</v>
      </c>
      <c r="I185" s="112"/>
      <c r="J185" s="112">
        <v>0</v>
      </c>
      <c r="K185" s="112"/>
      <c r="L185" s="112">
        <v>558778.53</v>
      </c>
    </row>
    <row r="186" spans="1:12" ht="13.5" customHeight="1" x14ac:dyDescent="0.2">
      <c r="A186" s="1"/>
      <c r="B186" s="10" t="s">
        <v>388</v>
      </c>
      <c r="C186" s="1"/>
      <c r="D186" s="1"/>
      <c r="E186" s="1"/>
      <c r="F186" s="51"/>
      <c r="G186" s="51"/>
      <c r="H186" s="51"/>
      <c r="I186" s="51"/>
      <c r="J186" s="51"/>
      <c r="K186" s="51"/>
      <c r="L186" s="51"/>
    </row>
    <row r="187" spans="1:12" ht="13.5" customHeight="1" x14ac:dyDescent="0.25">
      <c r="A187" s="11"/>
      <c r="B187" s="10"/>
      <c r="C187" s="10" t="s">
        <v>389</v>
      </c>
      <c r="D187" s="11"/>
      <c r="E187" s="11"/>
      <c r="F187" s="51"/>
      <c r="G187" s="51"/>
      <c r="H187" s="51"/>
      <c r="I187" s="51"/>
      <c r="J187" s="51"/>
      <c r="K187" s="51"/>
      <c r="L187" s="51"/>
    </row>
    <row r="188" spans="1:12" ht="13.5" customHeight="1" x14ac:dyDescent="0.25">
      <c r="A188" s="11"/>
      <c r="B188" s="10"/>
      <c r="C188" s="12"/>
      <c r="D188" s="12" t="s">
        <v>390</v>
      </c>
      <c r="E188" s="1"/>
      <c r="F188" s="51">
        <v>27833033.48</v>
      </c>
      <c r="G188" s="51"/>
      <c r="H188" s="51">
        <v>0</v>
      </c>
      <c r="I188" s="51"/>
      <c r="J188" s="51">
        <v>0</v>
      </c>
      <c r="K188" s="51"/>
      <c r="L188" s="51">
        <v>27833033.48</v>
      </c>
    </row>
    <row r="189" spans="1:12" ht="13.5" customHeight="1" x14ac:dyDescent="0.2">
      <c r="A189" s="1"/>
      <c r="B189" s="10"/>
      <c r="C189" s="12"/>
      <c r="D189" s="12" t="s">
        <v>391</v>
      </c>
      <c r="E189" s="1"/>
      <c r="F189" s="51">
        <v>82828775.700000003</v>
      </c>
      <c r="G189" s="51"/>
      <c r="H189" s="51">
        <v>10922036.76</v>
      </c>
      <c r="I189" s="51"/>
      <c r="J189" s="51">
        <v>0</v>
      </c>
      <c r="K189" s="51"/>
      <c r="L189" s="51">
        <v>93750812.460000008</v>
      </c>
    </row>
    <row r="190" spans="1:12" ht="13.5" customHeight="1" x14ac:dyDescent="0.2">
      <c r="A190" s="1"/>
      <c r="B190" s="10"/>
      <c r="C190" s="12"/>
      <c r="D190" s="12" t="s">
        <v>392</v>
      </c>
      <c r="E190" s="1"/>
      <c r="F190" s="51">
        <v>469481061.67000002</v>
      </c>
      <c r="G190" s="51"/>
      <c r="H190" s="51">
        <v>18150299.109999999</v>
      </c>
      <c r="I190" s="51"/>
      <c r="J190" s="51">
        <v>0</v>
      </c>
      <c r="K190" s="51"/>
      <c r="L190" s="51">
        <v>487631360.78000003</v>
      </c>
    </row>
    <row r="191" spans="1:12" ht="13.5" customHeight="1" x14ac:dyDescent="0.25">
      <c r="A191" s="11"/>
      <c r="B191" s="10"/>
      <c r="C191" s="12"/>
      <c r="D191" s="12" t="s">
        <v>393</v>
      </c>
      <c r="E191" s="1"/>
      <c r="F191" s="51">
        <v>396519510.20999998</v>
      </c>
      <c r="G191" s="51"/>
      <c r="H191" s="51">
        <v>122224949.48999999</v>
      </c>
      <c r="I191" s="51"/>
      <c r="J191" s="51">
        <v>0</v>
      </c>
      <c r="K191" s="51"/>
      <c r="L191" s="51">
        <v>518744459.69999999</v>
      </c>
    </row>
    <row r="192" spans="1:12" ht="13.5" customHeight="1" x14ac:dyDescent="0.2">
      <c r="A192" s="1"/>
      <c r="B192" s="10"/>
      <c r="C192" s="12"/>
      <c r="D192" s="12" t="s">
        <v>394</v>
      </c>
      <c r="E192" s="1"/>
      <c r="F192" s="51">
        <v>387901687.13</v>
      </c>
      <c r="G192" s="51"/>
      <c r="H192" s="51">
        <v>1692373.85</v>
      </c>
      <c r="I192" s="51"/>
      <c r="J192" s="51">
        <v>0</v>
      </c>
      <c r="K192" s="51"/>
      <c r="L192" s="51">
        <v>389594060.98000002</v>
      </c>
    </row>
    <row r="193" spans="1:12" ht="13.5" customHeight="1" x14ac:dyDescent="0.2">
      <c r="A193" s="1"/>
      <c r="B193" s="10"/>
      <c r="C193" s="12"/>
      <c r="D193" s="12" t="s">
        <v>395</v>
      </c>
      <c r="E193" s="1"/>
      <c r="F193" s="51">
        <v>82819397.890000001</v>
      </c>
      <c r="G193" s="51"/>
      <c r="H193" s="51">
        <v>0</v>
      </c>
      <c r="I193" s="51"/>
      <c r="J193" s="51">
        <v>0</v>
      </c>
      <c r="K193" s="51"/>
      <c r="L193" s="51">
        <v>82819397.890000001</v>
      </c>
    </row>
    <row r="194" spans="1:12" ht="13.5" customHeight="1" x14ac:dyDescent="0.2">
      <c r="A194" s="1"/>
      <c r="B194" s="10"/>
      <c r="C194" s="12"/>
      <c r="D194" s="12" t="s">
        <v>396</v>
      </c>
      <c r="E194" s="1"/>
      <c r="F194" s="51">
        <v>4836291.82</v>
      </c>
      <c r="G194" s="51"/>
      <c r="H194" s="51">
        <v>197966.22</v>
      </c>
      <c r="I194" s="51"/>
      <c r="J194" s="51">
        <v>0</v>
      </c>
      <c r="K194" s="51"/>
      <c r="L194" s="51">
        <v>5034258.04</v>
      </c>
    </row>
    <row r="195" spans="1:12" ht="13.5" customHeight="1" x14ac:dyDescent="0.2">
      <c r="A195" s="1"/>
      <c r="B195" s="10"/>
      <c r="C195" s="12"/>
      <c r="D195" s="12" t="s">
        <v>397</v>
      </c>
      <c r="E195" s="1"/>
      <c r="F195" s="51">
        <v>56988322.009999998</v>
      </c>
      <c r="G195" s="51"/>
      <c r="H195" s="51">
        <v>0</v>
      </c>
      <c r="I195" s="51"/>
      <c r="J195" s="51">
        <v>0</v>
      </c>
      <c r="K195" s="51"/>
      <c r="L195" s="51">
        <v>56988322.009999998</v>
      </c>
    </row>
    <row r="196" spans="1:12" ht="13.5" customHeight="1" x14ac:dyDescent="0.2">
      <c r="A196" s="1"/>
      <c r="B196" s="10"/>
      <c r="C196" s="12"/>
      <c r="D196" s="12" t="s">
        <v>398</v>
      </c>
      <c r="E196" s="1"/>
      <c r="F196" s="51">
        <v>30858704.190000001</v>
      </c>
      <c r="G196" s="51"/>
      <c r="H196" s="51">
        <v>427886.25</v>
      </c>
      <c r="I196" s="51"/>
      <c r="J196" s="51">
        <v>0</v>
      </c>
      <c r="K196" s="51"/>
      <c r="L196" s="51">
        <v>31286590.440000001</v>
      </c>
    </row>
    <row r="197" spans="1:12" ht="13.5" customHeight="1" x14ac:dyDescent="0.25">
      <c r="A197" s="11"/>
      <c r="B197" s="10"/>
      <c r="C197" s="10" t="s">
        <v>60</v>
      </c>
      <c r="D197" s="1"/>
      <c r="E197" s="11"/>
      <c r="F197" s="51"/>
      <c r="G197" s="51"/>
      <c r="H197" s="51"/>
      <c r="I197" s="51"/>
      <c r="J197" s="51"/>
      <c r="K197" s="51"/>
      <c r="L197" s="51"/>
    </row>
    <row r="198" spans="1:12" ht="13.5" customHeight="1" x14ac:dyDescent="0.25">
      <c r="A198" s="11"/>
      <c r="B198" s="10"/>
      <c r="C198" s="12"/>
      <c r="D198" s="12" t="s">
        <v>399</v>
      </c>
      <c r="E198" s="11"/>
      <c r="F198" s="51">
        <v>23605947.870000001</v>
      </c>
      <c r="G198" s="51"/>
      <c r="H198" s="51">
        <v>0</v>
      </c>
      <c r="I198" s="51"/>
      <c r="J198" s="51">
        <v>0</v>
      </c>
      <c r="K198" s="51"/>
      <c r="L198" s="51">
        <v>23605947.870000001</v>
      </c>
    </row>
    <row r="199" spans="1:12" ht="13.5" customHeight="1" x14ac:dyDescent="0.25">
      <c r="A199" s="23"/>
      <c r="B199" s="23" t="s">
        <v>400</v>
      </c>
      <c r="C199" s="31"/>
      <c r="D199" s="23"/>
      <c r="E199" s="23"/>
      <c r="F199" s="112">
        <v>1563672731.97</v>
      </c>
      <c r="G199" s="112"/>
      <c r="H199" s="112">
        <v>153615511.67999998</v>
      </c>
      <c r="I199" s="112"/>
      <c r="J199" s="112">
        <v>0</v>
      </c>
      <c r="K199" s="112"/>
      <c r="L199" s="112">
        <v>1717288243.6500001</v>
      </c>
    </row>
    <row r="200" spans="1:12" ht="13.5" customHeight="1" x14ac:dyDescent="0.2">
      <c r="A200" s="18" t="s">
        <v>401</v>
      </c>
      <c r="B200" s="31"/>
      <c r="C200" s="31"/>
      <c r="D200" s="31"/>
      <c r="E200" s="31"/>
      <c r="F200" s="112">
        <v>12099315035.580002</v>
      </c>
      <c r="G200" s="112"/>
      <c r="H200" s="112">
        <v>786309874.16000009</v>
      </c>
      <c r="I200" s="112"/>
      <c r="J200" s="112">
        <v>0</v>
      </c>
      <c r="K200" s="112"/>
      <c r="L200" s="112">
        <v>12885624909.740002</v>
      </c>
    </row>
    <row r="201" spans="1:12" ht="13.5" customHeight="1" x14ac:dyDescent="0.2">
      <c r="A201" s="18" t="s">
        <v>402</v>
      </c>
      <c r="B201" s="31"/>
      <c r="C201" s="31"/>
      <c r="D201" s="31"/>
      <c r="E201" s="31"/>
      <c r="F201" s="112">
        <v>3788961443.3699989</v>
      </c>
      <c r="G201" s="112"/>
      <c r="H201" s="112">
        <v>329817963.71000004</v>
      </c>
      <c r="I201" s="112"/>
      <c r="J201" s="112">
        <v>0</v>
      </c>
      <c r="K201" s="112"/>
      <c r="L201" s="112">
        <v>4118779407.0799999</v>
      </c>
    </row>
    <row r="202" spans="1:12" ht="13.5" customHeight="1" x14ac:dyDescent="0.25">
      <c r="A202" s="10" t="s">
        <v>403</v>
      </c>
      <c r="B202" s="11"/>
      <c r="C202" s="11"/>
      <c r="D202" s="11"/>
      <c r="E202" s="11"/>
      <c r="F202" s="51"/>
      <c r="G202" s="51"/>
      <c r="H202" s="51"/>
      <c r="I202" s="51"/>
      <c r="J202" s="51"/>
      <c r="K202" s="51"/>
      <c r="L202" s="51"/>
    </row>
    <row r="203" spans="1:12" ht="13.5" customHeight="1" x14ac:dyDescent="0.25">
      <c r="A203" s="10" t="s">
        <v>404</v>
      </c>
      <c r="B203" s="11"/>
      <c r="C203" s="11"/>
      <c r="D203" s="11"/>
      <c r="E203" s="11"/>
      <c r="F203" s="51"/>
      <c r="G203" s="51"/>
      <c r="H203" s="51"/>
      <c r="I203" s="51"/>
      <c r="J203" s="51"/>
      <c r="K203" s="51"/>
      <c r="L203" s="51"/>
    </row>
    <row r="204" spans="1:12" ht="13.5" customHeight="1" x14ac:dyDescent="0.2">
      <c r="A204" s="1"/>
      <c r="B204" s="10"/>
      <c r="C204" s="10" t="s">
        <v>405</v>
      </c>
      <c r="D204" s="1"/>
      <c r="E204" s="1"/>
      <c r="F204" s="51"/>
      <c r="G204" s="51"/>
      <c r="H204" s="51"/>
      <c r="I204" s="51"/>
      <c r="J204" s="51"/>
      <c r="K204" s="51"/>
      <c r="L204" s="51"/>
    </row>
    <row r="205" spans="1:12" ht="13.5" customHeight="1" x14ac:dyDescent="0.2">
      <c r="A205" s="1"/>
      <c r="B205" s="10"/>
      <c r="C205" s="1"/>
      <c r="D205" s="1" t="s">
        <v>406</v>
      </c>
      <c r="E205" s="1"/>
      <c r="F205" s="51">
        <v>479824000</v>
      </c>
      <c r="G205" s="51"/>
      <c r="H205" s="51">
        <v>0</v>
      </c>
      <c r="I205" s="51"/>
      <c r="J205" s="51">
        <v>0</v>
      </c>
      <c r="K205" s="51"/>
      <c r="L205" s="51">
        <v>479824000</v>
      </c>
    </row>
    <row r="206" spans="1:12" ht="13.5" customHeight="1" x14ac:dyDescent="0.2">
      <c r="A206" s="1"/>
      <c r="B206" s="10"/>
      <c r="C206" s="1"/>
      <c r="D206" s="1" t="s">
        <v>407</v>
      </c>
      <c r="E206" s="1"/>
      <c r="F206" s="51">
        <v>190256974.34999999</v>
      </c>
      <c r="G206" s="51"/>
      <c r="H206" s="51">
        <v>0</v>
      </c>
      <c r="I206" s="51"/>
      <c r="J206" s="51">
        <v>0</v>
      </c>
      <c r="K206" s="51"/>
      <c r="L206" s="51">
        <v>190256974.34999999</v>
      </c>
    </row>
    <row r="207" spans="1:12" ht="13.5" customHeight="1" x14ac:dyDescent="0.25">
      <c r="A207" s="11"/>
      <c r="B207" s="10"/>
      <c r="C207" s="1"/>
      <c r="D207" s="1" t="s">
        <v>408</v>
      </c>
      <c r="E207" s="11"/>
      <c r="F207" s="51">
        <v>3855690</v>
      </c>
      <c r="G207" s="51"/>
      <c r="H207" s="51">
        <v>0</v>
      </c>
      <c r="I207" s="51"/>
      <c r="J207" s="51">
        <v>0</v>
      </c>
      <c r="K207" s="51"/>
      <c r="L207" s="51">
        <v>3855690</v>
      </c>
    </row>
    <row r="208" spans="1:12" ht="13.5" hidden="1" customHeight="1" x14ac:dyDescent="0.25">
      <c r="A208" s="11"/>
      <c r="B208" s="10"/>
      <c r="C208" s="1"/>
      <c r="D208" s="1" t="s">
        <v>409</v>
      </c>
      <c r="E208" s="11"/>
      <c r="F208" s="51">
        <v>0</v>
      </c>
      <c r="G208" s="51"/>
      <c r="H208" s="51">
        <v>0</v>
      </c>
      <c r="I208" s="51"/>
      <c r="J208" s="51">
        <v>0</v>
      </c>
      <c r="K208" s="51"/>
      <c r="L208" s="51">
        <v>0</v>
      </c>
    </row>
    <row r="209" spans="1:12" ht="13.5" customHeight="1" x14ac:dyDescent="0.2">
      <c r="A209" s="1"/>
      <c r="B209" s="10"/>
      <c r="C209" s="1"/>
      <c r="D209" s="57" t="s">
        <v>410</v>
      </c>
      <c r="E209" s="1"/>
      <c r="F209" s="51">
        <v>172643983.93000001</v>
      </c>
      <c r="G209" s="51"/>
      <c r="H209" s="51">
        <v>0</v>
      </c>
      <c r="I209" s="51"/>
      <c r="J209" s="51">
        <v>0</v>
      </c>
      <c r="K209" s="51"/>
      <c r="L209" s="51">
        <v>172643983.93000001</v>
      </c>
    </row>
    <row r="210" spans="1:12" ht="13.5" customHeight="1" x14ac:dyDescent="0.25">
      <c r="A210" s="23"/>
      <c r="B210" s="23" t="s">
        <v>411</v>
      </c>
      <c r="C210" s="23"/>
      <c r="D210" s="31"/>
      <c r="E210" s="23"/>
      <c r="F210" s="112">
        <v>846580648.27999997</v>
      </c>
      <c r="G210" s="112"/>
      <c r="H210" s="112">
        <v>0</v>
      </c>
      <c r="I210" s="112"/>
      <c r="J210" s="112">
        <v>0</v>
      </c>
      <c r="K210" s="112"/>
      <c r="L210" s="112">
        <v>846580648.27999997</v>
      </c>
    </row>
    <row r="211" spans="1:12" ht="13.5" customHeight="1" x14ac:dyDescent="0.25">
      <c r="A211" s="31"/>
      <c r="B211" s="18" t="s">
        <v>412</v>
      </c>
      <c r="C211" s="23"/>
      <c r="D211" s="23"/>
      <c r="E211" s="23"/>
      <c r="F211" s="112">
        <v>-846580648.27999997</v>
      </c>
      <c r="G211" s="112"/>
      <c r="H211" s="112">
        <v>0</v>
      </c>
      <c r="I211" s="112"/>
      <c r="J211" s="112">
        <v>0</v>
      </c>
      <c r="K211" s="112"/>
      <c r="L211" s="112">
        <v>-846580648.27999997</v>
      </c>
    </row>
    <row r="212" spans="1:12" ht="13.5" customHeight="1" x14ac:dyDescent="0.2">
      <c r="A212" s="18" t="s">
        <v>413</v>
      </c>
      <c r="B212" s="18"/>
      <c r="C212" s="31"/>
      <c r="D212" s="31"/>
      <c r="E212" s="31"/>
      <c r="F212" s="112">
        <v>2942380795.0899992</v>
      </c>
      <c r="G212" s="112"/>
      <c r="H212" s="112">
        <v>329817963.71000004</v>
      </c>
      <c r="I212" s="112"/>
      <c r="J212" s="112">
        <v>0</v>
      </c>
      <c r="K212" s="112"/>
      <c r="L212" s="112">
        <v>3272198758.8000002</v>
      </c>
    </row>
    <row r="213" spans="1:12" ht="13.5" customHeight="1" x14ac:dyDescent="0.2">
      <c r="A213" s="1"/>
      <c r="B213" s="1"/>
      <c r="C213" s="1"/>
      <c r="D213" s="1"/>
      <c r="E213" s="1"/>
      <c r="F213" s="106"/>
      <c r="G213" s="106"/>
      <c r="H213" s="106"/>
      <c r="I213" s="106"/>
      <c r="J213" s="106"/>
      <c r="K213" s="106"/>
      <c r="L213" s="106"/>
    </row>
    <row r="214" spans="1:12" ht="13.5" customHeight="1" x14ac:dyDescent="0.2">
      <c r="A214" s="1"/>
      <c r="B214" s="1"/>
      <c r="C214" s="1"/>
      <c r="D214" s="1"/>
      <c r="E214" s="1"/>
      <c r="F214" s="106"/>
      <c r="G214" s="106"/>
      <c r="H214" s="106"/>
      <c r="I214" s="106"/>
      <c r="J214" s="106"/>
      <c r="K214" s="106"/>
      <c r="L214" s="106"/>
    </row>
    <row r="215" spans="1:12" ht="13.5" customHeight="1" x14ac:dyDescent="0.2">
      <c r="A215" s="1"/>
      <c r="B215" s="1"/>
      <c r="C215" s="1"/>
      <c r="D215" s="1"/>
      <c r="E215" s="1"/>
      <c r="F215" s="106"/>
      <c r="G215" s="106"/>
      <c r="H215" s="106"/>
      <c r="I215" s="106"/>
      <c r="J215" s="106"/>
      <c r="K215" s="106"/>
      <c r="L215" s="106"/>
    </row>
    <row r="216" spans="1:12" ht="13.5" customHeight="1" x14ac:dyDescent="0.2">
      <c r="A216" s="1"/>
      <c r="B216" s="1"/>
      <c r="C216" s="1"/>
      <c r="D216" s="1"/>
      <c r="E216" s="1"/>
      <c r="F216" s="106"/>
      <c r="G216" s="106"/>
      <c r="H216" s="106"/>
      <c r="I216" s="106"/>
      <c r="J216" s="106"/>
      <c r="K216" s="106"/>
      <c r="L216" s="106"/>
    </row>
    <row r="217" spans="1:12" ht="13.5" customHeight="1" x14ac:dyDescent="0.2">
      <c r="A217" s="1"/>
      <c r="B217" s="1"/>
      <c r="C217" s="1"/>
      <c r="D217" s="1"/>
      <c r="E217" s="1"/>
      <c r="F217" s="106"/>
      <c r="G217" s="106"/>
      <c r="H217" s="106"/>
      <c r="I217" s="106"/>
      <c r="J217" s="106"/>
      <c r="K217" s="106"/>
      <c r="L217" s="106"/>
    </row>
    <row r="218" spans="1:12" ht="13.5" customHeight="1" x14ac:dyDescent="0.2">
      <c r="A218" s="1"/>
      <c r="B218" s="1"/>
      <c r="C218" s="1"/>
      <c r="D218" s="1"/>
      <c r="E218" s="1"/>
      <c r="F218" s="106"/>
      <c r="G218" s="106"/>
      <c r="H218" s="106"/>
      <c r="I218" s="106"/>
      <c r="J218" s="106"/>
      <c r="K218" s="106"/>
      <c r="L218" s="106"/>
    </row>
    <row r="219" spans="1:12" ht="13.5" customHeight="1" x14ac:dyDescent="0.2">
      <c r="A219" s="1"/>
      <c r="B219" s="1"/>
      <c r="C219" s="1"/>
      <c r="D219" s="1"/>
      <c r="E219" s="1"/>
      <c r="F219" s="106"/>
      <c r="G219" s="106"/>
      <c r="H219" s="106"/>
      <c r="I219" s="106"/>
      <c r="J219" s="106"/>
      <c r="K219" s="106"/>
      <c r="L219" s="106"/>
    </row>
    <row r="220" spans="1:12" ht="13.5" customHeight="1" x14ac:dyDescent="0.2">
      <c r="A220" s="1"/>
      <c r="B220" s="1"/>
      <c r="C220" s="1"/>
      <c r="D220" s="1"/>
      <c r="E220" s="1"/>
      <c r="F220" s="106"/>
      <c r="G220" s="106"/>
      <c r="H220" s="106"/>
      <c r="I220" s="106"/>
      <c r="J220" s="106"/>
      <c r="K220" s="106"/>
      <c r="L220" s="106"/>
    </row>
    <row r="221" spans="1:12" ht="13.5" customHeight="1" x14ac:dyDescent="0.2">
      <c r="A221" s="1"/>
      <c r="B221" s="1"/>
      <c r="C221" s="1"/>
      <c r="D221" s="1"/>
      <c r="E221" s="1"/>
      <c r="F221" s="106"/>
      <c r="G221" s="106"/>
      <c r="H221" s="106"/>
      <c r="I221" s="106"/>
      <c r="J221" s="106"/>
      <c r="K221" s="106"/>
      <c r="L221" s="106"/>
    </row>
    <row r="222" spans="1:12" ht="13.5" customHeight="1" x14ac:dyDescent="0.2">
      <c r="A222" s="1"/>
      <c r="B222" s="1"/>
      <c r="C222" s="1"/>
      <c r="D222" s="1"/>
      <c r="E222" s="1"/>
      <c r="F222" s="106"/>
      <c r="G222" s="106"/>
      <c r="H222" s="106"/>
      <c r="I222" s="106"/>
      <c r="J222" s="106"/>
      <c r="K222" s="106"/>
      <c r="L222" s="106"/>
    </row>
    <row r="223" spans="1:12" ht="13.5" customHeight="1" x14ac:dyDescent="0.2">
      <c r="A223" s="1"/>
      <c r="B223" s="1"/>
      <c r="C223" s="1"/>
      <c r="D223" s="1"/>
      <c r="E223" s="1"/>
      <c r="F223" s="106"/>
      <c r="G223" s="106"/>
      <c r="H223" s="106"/>
      <c r="I223" s="106"/>
      <c r="J223" s="106"/>
      <c r="K223" s="106"/>
      <c r="L223" s="106"/>
    </row>
    <row r="224" spans="1:12" ht="13.5" customHeight="1" x14ac:dyDescent="0.2">
      <c r="A224" s="1"/>
      <c r="B224" s="1"/>
      <c r="C224" s="1"/>
      <c r="D224" s="1"/>
      <c r="E224" s="1"/>
      <c r="F224" s="106"/>
      <c r="G224" s="106"/>
      <c r="H224" s="106"/>
      <c r="I224" s="106"/>
      <c r="J224" s="106"/>
      <c r="K224" s="106"/>
      <c r="L224" s="106"/>
    </row>
    <row r="225" spans="1:12" ht="13.5" customHeight="1" x14ac:dyDescent="0.2">
      <c r="A225" s="1"/>
      <c r="B225" s="1"/>
      <c r="C225" s="1"/>
      <c r="D225" s="1"/>
      <c r="E225" s="1"/>
      <c r="F225" s="106"/>
      <c r="G225" s="106"/>
      <c r="H225" s="106"/>
      <c r="I225" s="106"/>
      <c r="J225" s="106"/>
      <c r="K225" s="106"/>
      <c r="L225" s="106"/>
    </row>
    <row r="226" spans="1:12" ht="13.5" customHeight="1" x14ac:dyDescent="0.2">
      <c r="A226" s="1"/>
      <c r="B226" s="1"/>
      <c r="C226" s="1"/>
      <c r="D226" s="1"/>
      <c r="E226" s="1"/>
      <c r="F226" s="106"/>
      <c r="G226" s="106"/>
      <c r="H226" s="106"/>
      <c r="I226" s="106"/>
      <c r="J226" s="106"/>
      <c r="K226" s="106"/>
      <c r="L226" s="106"/>
    </row>
    <row r="227" spans="1:12" ht="13.5" customHeight="1" x14ac:dyDescent="0.2">
      <c r="A227" s="1"/>
      <c r="B227" s="1"/>
      <c r="C227" s="1"/>
      <c r="D227" s="1"/>
      <c r="E227" s="1"/>
      <c r="F227" s="106"/>
      <c r="G227" s="106"/>
      <c r="H227" s="106"/>
      <c r="I227" s="106"/>
      <c r="J227" s="106"/>
      <c r="K227" s="106"/>
      <c r="L227" s="106"/>
    </row>
    <row r="228" spans="1:12" ht="13.5" customHeight="1" x14ac:dyDescent="0.2">
      <c r="A228" s="1"/>
      <c r="B228" s="1"/>
      <c r="C228" s="1"/>
      <c r="D228" s="1"/>
      <c r="E228" s="1"/>
      <c r="F228" s="106"/>
      <c r="G228" s="106"/>
      <c r="H228" s="106"/>
      <c r="I228" s="106"/>
      <c r="J228" s="106"/>
      <c r="K228" s="106"/>
      <c r="L228" s="106"/>
    </row>
    <row r="229" spans="1:12" ht="13.5" customHeight="1" x14ac:dyDescent="0.2">
      <c r="A229" s="1"/>
      <c r="B229" s="1"/>
      <c r="C229" s="1"/>
      <c r="D229" s="1"/>
      <c r="E229" s="1"/>
      <c r="F229" s="106"/>
      <c r="G229" s="106"/>
      <c r="H229" s="106"/>
      <c r="I229" s="106"/>
      <c r="J229" s="106"/>
      <c r="K229" s="106"/>
      <c r="L229" s="106"/>
    </row>
    <row r="230" spans="1:12" ht="13.5" customHeight="1" x14ac:dyDescent="0.2">
      <c r="A230" s="1"/>
      <c r="B230" s="1"/>
      <c r="C230" s="1"/>
      <c r="D230" s="1"/>
      <c r="E230" s="1"/>
      <c r="F230" s="106"/>
      <c r="G230" s="106"/>
      <c r="H230" s="106"/>
      <c r="I230" s="106"/>
      <c r="J230" s="106"/>
      <c r="K230" s="106"/>
      <c r="L230" s="106"/>
    </row>
    <row r="231" spans="1:12" ht="13.5" customHeight="1" x14ac:dyDescent="0.2">
      <c r="A231" s="1"/>
      <c r="B231" s="1"/>
      <c r="C231" s="1"/>
      <c r="D231" s="1"/>
      <c r="E231" s="1"/>
      <c r="F231" s="106"/>
      <c r="G231" s="106"/>
      <c r="H231" s="106"/>
      <c r="I231" s="106"/>
      <c r="J231" s="106"/>
      <c r="K231" s="106"/>
      <c r="L231" s="106"/>
    </row>
    <row r="232" spans="1:12" ht="13.5" customHeight="1" x14ac:dyDescent="0.2">
      <c r="A232" s="1"/>
      <c r="B232" s="1"/>
      <c r="C232" s="1"/>
      <c r="D232" s="1"/>
      <c r="E232" s="1"/>
      <c r="F232" s="106"/>
      <c r="G232" s="106"/>
      <c r="H232" s="106"/>
      <c r="I232" s="106"/>
      <c r="J232" s="106"/>
      <c r="K232" s="106"/>
      <c r="L232" s="106"/>
    </row>
    <row r="233" spans="1:12" ht="13.5" customHeight="1" x14ac:dyDescent="0.2">
      <c r="A233" s="1"/>
      <c r="B233" s="1"/>
      <c r="C233" s="1"/>
      <c r="D233" s="1"/>
      <c r="E233" s="1"/>
      <c r="F233" s="106"/>
      <c r="G233" s="106"/>
      <c r="H233" s="106"/>
      <c r="I233" s="106"/>
      <c r="J233" s="106"/>
      <c r="K233" s="106"/>
      <c r="L233" s="106"/>
    </row>
    <row r="234" spans="1:12" ht="13.5" customHeight="1" x14ac:dyDescent="0.2">
      <c r="A234" s="1"/>
      <c r="B234" s="1"/>
      <c r="C234" s="1"/>
      <c r="D234" s="1"/>
      <c r="E234" s="1"/>
      <c r="F234" s="106"/>
      <c r="G234" s="106"/>
      <c r="H234" s="106"/>
      <c r="I234" s="106"/>
      <c r="J234" s="106"/>
      <c r="K234" s="106"/>
      <c r="L234" s="106"/>
    </row>
    <row r="235" spans="1:12" ht="13.5" customHeight="1" x14ac:dyDescent="0.2">
      <c r="A235" s="1"/>
      <c r="B235" s="1"/>
      <c r="C235" s="1"/>
      <c r="D235" s="1"/>
      <c r="E235" s="1"/>
      <c r="F235" s="106"/>
      <c r="G235" s="106"/>
      <c r="H235" s="106"/>
      <c r="I235" s="106"/>
      <c r="J235" s="106"/>
      <c r="K235" s="106"/>
      <c r="L235" s="106"/>
    </row>
    <row r="236" spans="1:12" ht="13.5" customHeight="1" x14ac:dyDescent="0.2">
      <c r="A236" s="1"/>
      <c r="B236" s="1"/>
      <c r="C236" s="1"/>
      <c r="D236" s="1"/>
      <c r="E236" s="1"/>
      <c r="F236" s="106"/>
      <c r="G236" s="106"/>
      <c r="H236" s="106"/>
      <c r="I236" s="106"/>
      <c r="J236" s="106"/>
      <c r="K236" s="106"/>
      <c r="L236" s="106"/>
    </row>
    <row r="237" spans="1:12" ht="13.5" customHeight="1" x14ac:dyDescent="0.2">
      <c r="A237" s="1"/>
      <c r="B237" s="1"/>
      <c r="C237" s="1"/>
      <c r="D237" s="1"/>
      <c r="E237" s="1"/>
      <c r="F237" s="106"/>
      <c r="G237" s="106"/>
      <c r="H237" s="106"/>
      <c r="I237" s="106"/>
      <c r="J237" s="106"/>
      <c r="K237" s="106"/>
      <c r="L237" s="106"/>
    </row>
    <row r="238" spans="1:12" ht="13.5" customHeight="1" x14ac:dyDescent="0.2">
      <c r="A238" s="1"/>
      <c r="B238" s="1"/>
      <c r="C238" s="1"/>
      <c r="D238" s="1"/>
      <c r="E238" s="1"/>
      <c r="F238" s="106"/>
      <c r="G238" s="106"/>
      <c r="H238" s="106"/>
      <c r="I238" s="106"/>
      <c r="J238" s="106"/>
      <c r="K238" s="106"/>
      <c r="L238" s="106"/>
    </row>
    <row r="239" spans="1:12" ht="13.5" customHeight="1" x14ac:dyDescent="0.2">
      <c r="A239" s="1"/>
      <c r="B239" s="1"/>
      <c r="C239" s="1"/>
      <c r="D239" s="1"/>
      <c r="E239" s="1"/>
      <c r="F239" s="106"/>
      <c r="G239" s="106"/>
      <c r="H239" s="106"/>
      <c r="I239" s="106"/>
      <c r="J239" s="106"/>
      <c r="K239" s="106"/>
      <c r="L239" s="106"/>
    </row>
    <row r="240" spans="1:12" ht="13.5" customHeight="1" x14ac:dyDescent="0.2">
      <c r="A240" s="1"/>
      <c r="B240" s="1"/>
      <c r="C240" s="1"/>
      <c r="D240" s="1"/>
      <c r="E240" s="1"/>
      <c r="F240" s="106"/>
      <c r="G240" s="106"/>
      <c r="H240" s="106"/>
      <c r="I240" s="106"/>
      <c r="J240" s="106"/>
      <c r="K240" s="106"/>
      <c r="L240" s="106"/>
    </row>
    <row r="241" spans="1:12" ht="13.5" customHeight="1" x14ac:dyDescent="0.2">
      <c r="A241" s="1"/>
      <c r="B241" s="1"/>
      <c r="C241" s="1"/>
      <c r="D241" s="1"/>
      <c r="E241" s="1"/>
      <c r="F241" s="106"/>
      <c r="G241" s="106"/>
      <c r="H241" s="106"/>
      <c r="I241" s="106"/>
      <c r="J241" s="106"/>
      <c r="K241" s="106"/>
      <c r="L241" s="106"/>
    </row>
    <row r="242" spans="1:12" ht="13.5" customHeight="1" x14ac:dyDescent="0.2">
      <c r="A242" s="1"/>
      <c r="B242" s="1"/>
      <c r="C242" s="1"/>
      <c r="D242" s="1"/>
      <c r="E242" s="1"/>
      <c r="F242" s="106"/>
      <c r="G242" s="106"/>
      <c r="H242" s="106"/>
      <c r="I242" s="106"/>
      <c r="J242" s="106"/>
      <c r="K242" s="106"/>
      <c r="L242" s="106"/>
    </row>
    <row r="243" spans="1:12" ht="13.5" customHeight="1" x14ac:dyDescent="0.2">
      <c r="A243" s="1"/>
      <c r="B243" s="1"/>
      <c r="C243" s="1"/>
      <c r="D243" s="1"/>
      <c r="E243" s="1"/>
      <c r="F243" s="106"/>
      <c r="G243" s="106"/>
      <c r="H243" s="106"/>
      <c r="I243" s="106"/>
      <c r="J243" s="106"/>
      <c r="K243" s="106"/>
      <c r="L243" s="106"/>
    </row>
    <row r="244" spans="1:12" ht="13.5" customHeight="1" x14ac:dyDescent="0.2">
      <c r="A244" s="1"/>
      <c r="B244" s="1"/>
      <c r="C244" s="1"/>
      <c r="D244" s="1"/>
      <c r="E244" s="1"/>
      <c r="F244" s="106"/>
      <c r="G244" s="106"/>
      <c r="H244" s="106"/>
      <c r="I244" s="106"/>
      <c r="J244" s="106"/>
      <c r="K244" s="106"/>
      <c r="L244" s="106"/>
    </row>
    <row r="245" spans="1:12" ht="13.5" customHeight="1" x14ac:dyDescent="0.2">
      <c r="A245" s="1"/>
      <c r="B245" s="1"/>
      <c r="C245" s="1"/>
      <c r="D245" s="1"/>
      <c r="E245" s="1"/>
      <c r="F245" s="106"/>
      <c r="G245" s="106"/>
      <c r="H245" s="106"/>
      <c r="I245" s="106"/>
      <c r="J245" s="106"/>
      <c r="K245" s="106"/>
      <c r="L245" s="106"/>
    </row>
    <row r="246" spans="1:12" ht="13.5" customHeight="1" x14ac:dyDescent="0.2">
      <c r="A246" s="1"/>
      <c r="B246" s="1"/>
      <c r="C246" s="1"/>
      <c r="D246" s="1"/>
      <c r="E246" s="1"/>
      <c r="F246" s="106"/>
      <c r="G246" s="106"/>
      <c r="H246" s="106"/>
      <c r="I246" s="106"/>
      <c r="J246" s="106"/>
      <c r="K246" s="106"/>
      <c r="L246" s="106"/>
    </row>
    <row r="247" spans="1:12" ht="13.5" customHeight="1" x14ac:dyDescent="0.2">
      <c r="A247" s="1"/>
      <c r="B247" s="1"/>
      <c r="C247" s="1"/>
      <c r="D247" s="1"/>
      <c r="E247" s="1"/>
      <c r="F247" s="106"/>
      <c r="G247" s="106"/>
      <c r="H247" s="106"/>
      <c r="I247" s="106"/>
      <c r="J247" s="106"/>
      <c r="K247" s="106"/>
      <c r="L247" s="106"/>
    </row>
    <row r="248" spans="1:12" ht="13.5" customHeight="1" x14ac:dyDescent="0.2">
      <c r="A248" s="1"/>
      <c r="B248" s="1"/>
      <c r="C248" s="1"/>
      <c r="D248" s="1"/>
      <c r="E248" s="1"/>
      <c r="F248" s="106"/>
      <c r="G248" s="106"/>
      <c r="H248" s="106"/>
      <c r="I248" s="106"/>
      <c r="J248" s="106"/>
      <c r="K248" s="106"/>
      <c r="L248" s="106"/>
    </row>
    <row r="249" spans="1:12" ht="13.5" customHeight="1" x14ac:dyDescent="0.2">
      <c r="A249" s="1"/>
      <c r="B249" s="1"/>
      <c r="C249" s="1"/>
      <c r="D249" s="1"/>
      <c r="E249" s="1"/>
      <c r="F249" s="106"/>
      <c r="G249" s="106"/>
      <c r="H249" s="106"/>
      <c r="I249" s="106"/>
      <c r="J249" s="106"/>
      <c r="K249" s="106"/>
      <c r="L249" s="106"/>
    </row>
    <row r="250" spans="1:12" ht="13.5" customHeight="1" x14ac:dyDescent="0.2">
      <c r="A250" s="1"/>
      <c r="B250" s="1"/>
      <c r="C250" s="1"/>
      <c r="D250" s="1"/>
      <c r="E250" s="1"/>
      <c r="F250" s="106"/>
      <c r="G250" s="106"/>
      <c r="H250" s="106"/>
      <c r="I250" s="106"/>
      <c r="J250" s="106"/>
      <c r="K250" s="106"/>
      <c r="L250" s="106"/>
    </row>
    <row r="251" spans="1:12" ht="13.5" customHeight="1" x14ac:dyDescent="0.2">
      <c r="A251" s="1"/>
      <c r="B251" s="1"/>
      <c r="C251" s="1"/>
      <c r="D251" s="1"/>
      <c r="E251" s="1"/>
      <c r="F251" s="106"/>
      <c r="G251" s="106"/>
      <c r="H251" s="106"/>
      <c r="I251" s="106"/>
      <c r="J251" s="106"/>
      <c r="K251" s="106"/>
      <c r="L251" s="106"/>
    </row>
    <row r="252" spans="1:12" ht="13.5" customHeight="1" x14ac:dyDescent="0.2">
      <c r="A252" s="1"/>
      <c r="B252" s="1"/>
      <c r="C252" s="1"/>
      <c r="D252" s="1"/>
      <c r="E252" s="1"/>
      <c r="F252" s="106"/>
      <c r="G252" s="106"/>
      <c r="H252" s="106"/>
      <c r="I252" s="106"/>
      <c r="J252" s="106"/>
      <c r="K252" s="106"/>
      <c r="L252" s="106"/>
    </row>
    <row r="253" spans="1:12" ht="13.5" customHeight="1" x14ac:dyDescent="0.2">
      <c r="A253" s="1"/>
      <c r="B253" s="1"/>
      <c r="C253" s="1"/>
      <c r="D253" s="1"/>
      <c r="E253" s="1"/>
      <c r="F253" s="106"/>
      <c r="G253" s="106"/>
      <c r="H253" s="106"/>
      <c r="I253" s="106"/>
      <c r="J253" s="106"/>
      <c r="K253" s="106"/>
      <c r="L253" s="106"/>
    </row>
    <row r="254" spans="1:12" ht="13.5" customHeight="1" x14ac:dyDescent="0.2">
      <c r="A254" s="1"/>
      <c r="B254" s="1"/>
      <c r="C254" s="1"/>
      <c r="D254" s="1"/>
      <c r="E254" s="1"/>
      <c r="F254" s="106"/>
      <c r="G254" s="106"/>
      <c r="H254" s="106"/>
      <c r="I254" s="106"/>
      <c r="J254" s="106"/>
      <c r="K254" s="106"/>
      <c r="L254" s="106"/>
    </row>
    <row r="255" spans="1:12" ht="13.5" customHeight="1" x14ac:dyDescent="0.2">
      <c r="A255" s="1"/>
      <c r="B255" s="1"/>
      <c r="C255" s="1"/>
      <c r="D255" s="1"/>
      <c r="E255" s="1"/>
      <c r="F255" s="106"/>
      <c r="G255" s="106"/>
      <c r="H255" s="106"/>
      <c r="I255" s="106"/>
      <c r="J255" s="106"/>
      <c r="K255" s="106"/>
      <c r="L255" s="106"/>
    </row>
    <row r="256" spans="1:12" ht="13.5" customHeight="1" x14ac:dyDescent="0.2">
      <c r="A256" s="1"/>
      <c r="B256" s="1"/>
      <c r="C256" s="1"/>
      <c r="D256" s="1"/>
      <c r="E256" s="1"/>
      <c r="F256" s="106"/>
      <c r="G256" s="106"/>
      <c r="H256" s="106"/>
      <c r="I256" s="106"/>
      <c r="J256" s="106"/>
      <c r="K256" s="106"/>
      <c r="L256" s="106"/>
    </row>
    <row r="257" spans="1:12" ht="13.5" customHeight="1" x14ac:dyDescent="0.2">
      <c r="A257" s="1"/>
      <c r="B257" s="1"/>
      <c r="C257" s="1"/>
      <c r="D257" s="1"/>
      <c r="E257" s="1"/>
      <c r="F257" s="106"/>
      <c r="G257" s="106"/>
      <c r="H257" s="106"/>
      <c r="I257" s="106"/>
      <c r="J257" s="106"/>
      <c r="K257" s="106"/>
      <c r="L257" s="106"/>
    </row>
    <row r="258" spans="1:12" ht="13.5" customHeight="1" x14ac:dyDescent="0.2">
      <c r="A258" s="1"/>
      <c r="B258" s="1"/>
      <c r="C258" s="1"/>
      <c r="D258" s="1"/>
      <c r="E258" s="1"/>
      <c r="F258" s="106"/>
      <c r="G258" s="106"/>
      <c r="H258" s="106"/>
      <c r="I258" s="106"/>
      <c r="J258" s="106"/>
      <c r="K258" s="106"/>
      <c r="L258" s="106"/>
    </row>
    <row r="259" spans="1:12" ht="13.5" customHeight="1" x14ac:dyDescent="0.2">
      <c r="A259" s="1"/>
      <c r="B259" s="1"/>
      <c r="C259" s="1"/>
      <c r="D259" s="1"/>
      <c r="E259" s="1"/>
      <c r="F259" s="106"/>
      <c r="G259" s="106"/>
      <c r="H259" s="106"/>
      <c r="I259" s="106"/>
      <c r="J259" s="106"/>
      <c r="K259" s="106"/>
      <c r="L259" s="106"/>
    </row>
    <row r="260" spans="1:12" ht="13.5" customHeight="1" x14ac:dyDescent="0.2">
      <c r="A260" s="1"/>
      <c r="B260" s="1"/>
      <c r="C260" s="1"/>
      <c r="D260" s="1"/>
      <c r="E260" s="1"/>
      <c r="F260" s="106"/>
      <c r="G260" s="106"/>
      <c r="H260" s="106"/>
      <c r="I260" s="106"/>
      <c r="J260" s="106"/>
      <c r="K260" s="106"/>
      <c r="L260" s="106"/>
    </row>
    <row r="261" spans="1:12" ht="15.75" customHeight="1" x14ac:dyDescent="0.2"/>
    <row r="262" spans="1:12" ht="15.75" customHeight="1" x14ac:dyDescent="0.2"/>
    <row r="263" spans="1:12" ht="15.75" customHeight="1" x14ac:dyDescent="0.2"/>
    <row r="264" spans="1:12" ht="15.75" customHeight="1" x14ac:dyDescent="0.2"/>
    <row r="265" spans="1:12" ht="15.75" customHeight="1" x14ac:dyDescent="0.2"/>
    <row r="266" spans="1:12" ht="15.75" customHeight="1" x14ac:dyDescent="0.2"/>
    <row r="267" spans="1:12" ht="15.75" customHeight="1" x14ac:dyDescent="0.2"/>
    <row r="268" spans="1:12" ht="15.75" customHeight="1" x14ac:dyDescent="0.2"/>
    <row r="269" spans="1:12" ht="15.75" customHeight="1" x14ac:dyDescent="0.2"/>
    <row r="270" spans="1:12" ht="15.75" customHeight="1" x14ac:dyDescent="0.2"/>
    <row r="271" spans="1:12" ht="15.75" customHeight="1" x14ac:dyDescent="0.2"/>
    <row r="272" spans="1:1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</sheetData>
  <sheetProtection algorithmName="SHA-512" hashValue="tr1R9g8UwWj9H3jQYcbaGp3Ghj0AxZpYOm6wO2E1c2lMjMZuTycV61wGfnWHazPrXgOyMyLXXUQdNniWbWpklg==" saltValue="w968EGycbRGuW/epEV1ttA==" spinCount="100000" sheet="1" objects="1" scenarios="1" selectLockedCells="1" selectUnlockedCells="1"/>
  <mergeCells count="4">
    <mergeCell ref="A2:L2"/>
    <mergeCell ref="A3:L3"/>
    <mergeCell ref="A4:L4"/>
    <mergeCell ref="A5:L5"/>
  </mergeCells>
  <pageMargins left="0.70866141732283472" right="0.70866141732283472" top="0.74803149606299213" bottom="0.74803149606299213" header="0" footer="0"/>
  <pageSetup scale="81" fitToHeight="0" orientation="landscape" r:id="rId1"/>
  <headerFooter>
    <oddHeader>&amp;R&amp;"Arial,Bold"&amp;11ANNEX B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761"/>
  <sheetViews>
    <sheetView showGridLines="0" zoomScaleNormal="100" zoomScaleSheetLayoutView="85" workbookViewId="0">
      <selection activeCell="A2" sqref="A2:K2"/>
    </sheetView>
  </sheetViews>
  <sheetFormatPr defaultColWidth="14.42578125" defaultRowHeight="15" customHeight="1" x14ac:dyDescent="0.2"/>
  <cols>
    <col min="1" max="1" width="4.28515625" customWidth="1"/>
    <col min="2" max="2" width="3.7109375" customWidth="1"/>
    <col min="3" max="3" width="36.5703125" customWidth="1"/>
    <col min="4" max="4" width="2.42578125" customWidth="1"/>
    <col min="5" max="5" width="21.85546875" customWidth="1"/>
    <col min="6" max="6" width="1.140625" customWidth="1"/>
    <col min="7" max="7" width="21.85546875" customWidth="1"/>
    <col min="8" max="8" width="0.85546875" customWidth="1"/>
    <col min="9" max="9" width="21.85546875" customWidth="1"/>
    <col min="10" max="10" width="1.28515625" customWidth="1"/>
    <col min="11" max="11" width="21.85546875" customWidth="1"/>
  </cols>
  <sheetData>
    <row r="1" spans="1:11" ht="13.5" customHeight="1" x14ac:dyDescent="0.25">
      <c r="A1" s="1"/>
      <c r="B1" s="1"/>
      <c r="C1" s="1"/>
      <c r="D1" s="22"/>
      <c r="E1" s="26"/>
      <c r="F1" s="22"/>
      <c r="G1" s="26"/>
      <c r="H1" s="22"/>
      <c r="I1" s="26"/>
      <c r="J1" s="22"/>
      <c r="K1" s="28"/>
    </row>
    <row r="2" spans="1:11" ht="13.5" customHeight="1" x14ac:dyDescent="0.2">
      <c r="A2" s="125" t="s">
        <v>414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</row>
    <row r="3" spans="1:11" ht="13.5" customHeight="1" x14ac:dyDescent="0.2">
      <c r="A3" s="125" t="s">
        <v>415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</row>
    <row r="4" spans="1:11" ht="13.5" customHeight="1" x14ac:dyDescent="0.2">
      <c r="A4" s="125" t="s">
        <v>19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ht="13.5" customHeight="1" x14ac:dyDescent="0.2">
      <c r="A5" s="129" t="s">
        <v>2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</row>
    <row r="6" spans="1:11" ht="13.5" customHeight="1" x14ac:dyDescent="0.2">
      <c r="A6" s="10"/>
      <c r="B6" s="10"/>
      <c r="C6" s="10"/>
      <c r="D6" s="22"/>
      <c r="E6" s="26"/>
      <c r="F6" s="22"/>
      <c r="G6" s="26"/>
      <c r="H6" s="22"/>
      <c r="I6" s="26"/>
      <c r="J6" s="22"/>
      <c r="K6" s="59"/>
    </row>
    <row r="7" spans="1:11" ht="32.450000000000003" customHeight="1" x14ac:dyDescent="0.2">
      <c r="A7" s="35"/>
      <c r="B7" s="35"/>
      <c r="C7" s="3"/>
      <c r="D7" s="39"/>
      <c r="E7" s="60" t="s">
        <v>72</v>
      </c>
      <c r="F7" s="124"/>
      <c r="G7" s="60" t="s">
        <v>73</v>
      </c>
      <c r="H7" s="124"/>
      <c r="I7" s="60" t="s">
        <v>74</v>
      </c>
      <c r="J7" s="124"/>
      <c r="K7" s="60" t="s">
        <v>75</v>
      </c>
    </row>
    <row r="8" spans="1:11" ht="13.5" customHeight="1" x14ac:dyDescent="0.2">
      <c r="A8" s="136" t="s">
        <v>416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</row>
    <row r="9" spans="1:11" ht="13.5" customHeight="1" x14ac:dyDescent="0.2">
      <c r="A9" s="9"/>
      <c r="B9" s="10" t="s">
        <v>22</v>
      </c>
      <c r="C9" s="9"/>
      <c r="D9" s="22"/>
      <c r="E9" s="61"/>
      <c r="F9" s="62"/>
      <c r="G9" s="61"/>
      <c r="H9" s="62"/>
      <c r="I9" s="61"/>
      <c r="J9" s="62"/>
      <c r="K9" s="63"/>
    </row>
    <row r="10" spans="1:11" ht="13.5" customHeight="1" x14ac:dyDescent="0.2">
      <c r="A10" s="12"/>
      <c r="B10" s="12"/>
      <c r="C10" s="12" t="s">
        <v>23</v>
      </c>
      <c r="D10" s="22"/>
      <c r="E10" s="51">
        <v>9895535415.5499992</v>
      </c>
      <c r="F10" s="62"/>
      <c r="G10" s="64">
        <v>468143149.13</v>
      </c>
      <c r="H10" s="62"/>
      <c r="I10" s="65">
        <v>0</v>
      </c>
      <c r="J10" s="62"/>
      <c r="K10" s="65">
        <v>10363678564.679998</v>
      </c>
    </row>
    <row r="11" spans="1:11" ht="13.5" customHeight="1" x14ac:dyDescent="0.2">
      <c r="A11" s="12"/>
      <c r="B11" s="12"/>
      <c r="C11" s="32" t="s">
        <v>24</v>
      </c>
      <c r="D11" s="6"/>
      <c r="E11" s="65">
        <v>1724187437.52</v>
      </c>
      <c r="F11" s="65"/>
      <c r="G11" s="65">
        <v>0</v>
      </c>
      <c r="H11" s="65"/>
      <c r="I11" s="65">
        <v>0</v>
      </c>
      <c r="J11" s="65"/>
      <c r="K11" s="65">
        <v>1724187437.52</v>
      </c>
    </row>
    <row r="12" spans="1:11" ht="13.5" customHeight="1" x14ac:dyDescent="0.2">
      <c r="A12" s="12"/>
      <c r="B12" s="12"/>
      <c r="C12" s="32" t="s">
        <v>25</v>
      </c>
      <c r="D12" s="6"/>
      <c r="E12" s="65">
        <v>1649824557.26</v>
      </c>
      <c r="F12" s="65"/>
      <c r="G12" s="65">
        <v>0</v>
      </c>
      <c r="H12" s="65"/>
      <c r="I12" s="65">
        <v>0</v>
      </c>
      <c r="J12" s="65"/>
      <c r="K12" s="65">
        <v>1649824557.26</v>
      </c>
    </row>
    <row r="13" spans="1:11" ht="13.5" customHeight="1" x14ac:dyDescent="0.2">
      <c r="A13" s="12"/>
      <c r="B13" s="12"/>
      <c r="C13" s="12" t="s">
        <v>417</v>
      </c>
      <c r="D13" s="22"/>
      <c r="E13" s="51">
        <v>152660863</v>
      </c>
      <c r="F13" s="65"/>
      <c r="G13" s="64">
        <v>1106634.99</v>
      </c>
      <c r="H13" s="66"/>
      <c r="I13" s="65">
        <v>0</v>
      </c>
      <c r="J13" s="65"/>
      <c r="K13" s="51">
        <v>153767497.99000001</v>
      </c>
    </row>
    <row r="14" spans="1:11" ht="13.5" customHeight="1" x14ac:dyDescent="0.2">
      <c r="A14" s="12"/>
      <c r="B14" s="12"/>
      <c r="C14" s="12" t="s">
        <v>418</v>
      </c>
      <c r="D14" s="22"/>
      <c r="E14" s="51">
        <v>7445387905.6999998</v>
      </c>
      <c r="F14" s="65"/>
      <c r="G14" s="64">
        <v>1120423783.21</v>
      </c>
      <c r="H14" s="66"/>
      <c r="I14" s="51">
        <v>289251960.92000002</v>
      </c>
      <c r="J14" s="65"/>
      <c r="K14" s="51">
        <v>8855063649.8299999</v>
      </c>
    </row>
    <row r="15" spans="1:11" ht="13.5" customHeight="1" x14ac:dyDescent="0.2">
      <c r="A15" s="18"/>
      <c r="B15" s="18" t="s">
        <v>26</v>
      </c>
      <c r="C15" s="18"/>
      <c r="D15" s="19"/>
      <c r="E15" s="67">
        <v>20867596179.029999</v>
      </c>
      <c r="F15" s="67"/>
      <c r="G15" s="68">
        <v>1589673567.3299999</v>
      </c>
      <c r="H15" s="67"/>
      <c r="I15" s="67">
        <v>289251960.92000002</v>
      </c>
      <c r="J15" s="67"/>
      <c r="K15" s="67">
        <v>22746521707.279999</v>
      </c>
    </row>
    <row r="16" spans="1:11" ht="13.5" customHeight="1" x14ac:dyDescent="0.2">
      <c r="A16" s="9"/>
      <c r="B16" s="10" t="s">
        <v>27</v>
      </c>
      <c r="C16" s="9"/>
      <c r="D16" s="22"/>
      <c r="E16" s="51"/>
      <c r="F16" s="65"/>
      <c r="G16" s="64"/>
      <c r="H16" s="65"/>
      <c r="I16" s="51"/>
      <c r="J16" s="65"/>
      <c r="K16" s="66"/>
    </row>
    <row r="17" spans="1:11" ht="13.5" customHeight="1" x14ac:dyDescent="0.2">
      <c r="A17" s="12"/>
      <c r="B17" s="12"/>
      <c r="C17" s="32" t="s">
        <v>28</v>
      </c>
      <c r="D17" s="22"/>
      <c r="E17" s="51">
        <v>5777600039.4499998</v>
      </c>
      <c r="F17" s="65"/>
      <c r="G17" s="51">
        <v>373620468.63999999</v>
      </c>
      <c r="H17" s="65"/>
      <c r="I17" s="65">
        <v>0</v>
      </c>
      <c r="J17" s="65"/>
      <c r="K17" s="65">
        <v>6151220508.0900002</v>
      </c>
    </row>
    <row r="18" spans="1:11" ht="13.5" customHeight="1" x14ac:dyDescent="0.2">
      <c r="A18" s="12"/>
      <c r="B18" s="12"/>
      <c r="C18" s="12" t="s">
        <v>29</v>
      </c>
      <c r="D18" s="22"/>
      <c r="E18" s="51">
        <v>5375561607.4300003</v>
      </c>
      <c r="F18" s="65"/>
      <c r="G18" s="51">
        <v>349688547.88999999</v>
      </c>
      <c r="H18" s="65"/>
      <c r="I18" s="65">
        <v>0</v>
      </c>
      <c r="J18" s="65"/>
      <c r="K18" s="65">
        <v>5725250155.3200006</v>
      </c>
    </row>
    <row r="19" spans="1:11" ht="13.5" customHeight="1" x14ac:dyDescent="0.2">
      <c r="A19" s="12"/>
      <c r="B19" s="12"/>
      <c r="C19" s="12" t="s">
        <v>419</v>
      </c>
      <c r="D19" s="22"/>
      <c r="E19" s="51">
        <v>7541266138.9200001</v>
      </c>
      <c r="F19" s="65"/>
      <c r="G19" s="51">
        <v>590547840.92999995</v>
      </c>
      <c r="H19" s="65"/>
      <c r="I19" s="51">
        <v>458171697.94</v>
      </c>
      <c r="J19" s="65"/>
      <c r="K19" s="65">
        <v>8589985677.7900009</v>
      </c>
    </row>
    <row r="20" spans="1:11" ht="13.5" customHeight="1" x14ac:dyDescent="0.2">
      <c r="A20" s="18"/>
      <c r="B20" s="18" t="s">
        <v>30</v>
      </c>
      <c r="C20" s="18"/>
      <c r="D20" s="19"/>
      <c r="E20" s="67">
        <v>18694427785.800003</v>
      </c>
      <c r="F20" s="67"/>
      <c r="G20" s="67">
        <v>1313856857.46</v>
      </c>
      <c r="H20" s="67"/>
      <c r="I20" s="67">
        <v>458171697.94</v>
      </c>
      <c r="J20" s="67"/>
      <c r="K20" s="67">
        <v>20466456341.200001</v>
      </c>
    </row>
    <row r="21" spans="1:11" ht="13.5" customHeight="1" x14ac:dyDescent="0.25">
      <c r="A21" s="18" t="s">
        <v>31</v>
      </c>
      <c r="B21" s="13"/>
      <c r="C21" s="13"/>
      <c r="D21" s="15"/>
      <c r="E21" s="67">
        <v>2173168393.2299957</v>
      </c>
      <c r="F21" s="67"/>
      <c r="G21" s="67">
        <v>275816709.86999989</v>
      </c>
      <c r="H21" s="67"/>
      <c r="I21" s="67">
        <v>-168919737.01999998</v>
      </c>
      <c r="J21" s="67"/>
      <c r="K21" s="67">
        <v>2280065366.079998</v>
      </c>
    </row>
    <row r="22" spans="1:11" ht="13.5" customHeight="1" x14ac:dyDescent="0.2">
      <c r="A22" s="133" t="s">
        <v>420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</row>
    <row r="23" spans="1:11" ht="13.5" customHeight="1" x14ac:dyDescent="0.2">
      <c r="A23" s="9"/>
      <c r="B23" s="10" t="s">
        <v>22</v>
      </c>
      <c r="C23" s="9"/>
      <c r="D23" s="10"/>
      <c r="E23" s="10"/>
      <c r="F23" s="10"/>
      <c r="G23" s="10"/>
      <c r="H23" s="10"/>
      <c r="I23" s="10"/>
      <c r="J23" s="10"/>
      <c r="K23" s="10"/>
    </row>
    <row r="24" spans="1:11" ht="13.5" hidden="1" customHeight="1" x14ac:dyDescent="0.2">
      <c r="A24" s="12"/>
      <c r="B24" s="12"/>
      <c r="C24" s="12" t="s">
        <v>421</v>
      </c>
      <c r="D24" s="12"/>
      <c r="E24" s="69">
        <v>0</v>
      </c>
      <c r="F24" s="69"/>
      <c r="G24" s="69">
        <v>0</v>
      </c>
      <c r="H24" s="69"/>
      <c r="I24" s="69">
        <v>0</v>
      </c>
      <c r="J24" s="69"/>
      <c r="K24" s="69">
        <f t="shared" ref="K24" si="0">SUM(E24:I24)</f>
        <v>0</v>
      </c>
    </row>
    <row r="25" spans="1:11" ht="13.5" customHeight="1" x14ac:dyDescent="0.2">
      <c r="A25" s="12"/>
      <c r="B25" s="12"/>
      <c r="C25" s="32" t="s">
        <v>422</v>
      </c>
      <c r="D25" s="10"/>
      <c r="E25" s="69">
        <v>10375880.92</v>
      </c>
      <c r="F25" s="69"/>
      <c r="G25" s="69">
        <v>0</v>
      </c>
      <c r="H25" s="69"/>
      <c r="I25" s="69">
        <v>0</v>
      </c>
      <c r="J25" s="69"/>
      <c r="K25" s="69">
        <v>10375880.92</v>
      </c>
    </row>
    <row r="26" spans="1:11" ht="13.5" customHeight="1" x14ac:dyDescent="0.2">
      <c r="A26" s="18"/>
      <c r="B26" s="18" t="s">
        <v>26</v>
      </c>
      <c r="C26" s="18"/>
      <c r="D26" s="19"/>
      <c r="E26" s="67">
        <v>10375880.92</v>
      </c>
      <c r="F26" s="67"/>
      <c r="G26" s="67">
        <v>0</v>
      </c>
      <c r="H26" s="67"/>
      <c r="I26" s="67">
        <v>0</v>
      </c>
      <c r="J26" s="67"/>
      <c r="K26" s="67">
        <v>10375880.92</v>
      </c>
    </row>
    <row r="27" spans="1:11" ht="13.5" customHeight="1" x14ac:dyDescent="0.2">
      <c r="A27" s="9"/>
      <c r="B27" s="10" t="s">
        <v>27</v>
      </c>
      <c r="C27" s="9"/>
      <c r="D27" s="22"/>
      <c r="E27" s="61"/>
      <c r="F27" s="62"/>
      <c r="G27" s="61"/>
      <c r="H27" s="62"/>
      <c r="I27" s="61"/>
      <c r="J27" s="62"/>
      <c r="K27" s="70"/>
    </row>
    <row r="28" spans="1:11" ht="13.5" customHeight="1" x14ac:dyDescent="0.2">
      <c r="A28" s="27"/>
      <c r="B28" s="27"/>
      <c r="C28" s="29" t="s">
        <v>423</v>
      </c>
      <c r="D28" s="22"/>
      <c r="E28" s="65">
        <v>3653356932.8299999</v>
      </c>
      <c r="F28" s="65"/>
      <c r="G28" s="51">
        <v>11653976.75</v>
      </c>
      <c r="H28" s="65"/>
      <c r="I28" s="65">
        <v>0</v>
      </c>
      <c r="J28" s="65"/>
      <c r="K28" s="65">
        <v>3665010909.5799999</v>
      </c>
    </row>
    <row r="29" spans="1:11" ht="13.5" customHeight="1" x14ac:dyDescent="0.2">
      <c r="A29" s="27"/>
      <c r="B29" s="27"/>
      <c r="C29" s="27" t="s">
        <v>4</v>
      </c>
      <c r="D29" s="22"/>
      <c r="E29" s="65">
        <v>0</v>
      </c>
      <c r="F29" s="65"/>
      <c r="G29" s="51">
        <v>356690</v>
      </c>
      <c r="H29" s="65"/>
      <c r="I29" s="65">
        <v>0</v>
      </c>
      <c r="J29" s="65"/>
      <c r="K29" s="65">
        <v>356690</v>
      </c>
    </row>
    <row r="30" spans="1:11" ht="13.5" customHeight="1" x14ac:dyDescent="0.2">
      <c r="A30" s="12"/>
      <c r="B30" s="12"/>
      <c r="C30" s="12" t="s">
        <v>424</v>
      </c>
      <c r="D30" s="6"/>
      <c r="E30" s="65">
        <v>62335000</v>
      </c>
      <c r="F30" s="65"/>
      <c r="G30" s="65">
        <v>0</v>
      </c>
      <c r="H30" s="65"/>
      <c r="I30" s="65">
        <v>0</v>
      </c>
      <c r="J30" s="65"/>
      <c r="K30" s="65">
        <v>62335000</v>
      </c>
    </row>
    <row r="31" spans="1:11" ht="13.5" customHeight="1" x14ac:dyDescent="0.2">
      <c r="A31" s="18"/>
      <c r="B31" s="18" t="s">
        <v>30</v>
      </c>
      <c r="C31" s="18"/>
      <c r="D31" s="19"/>
      <c r="E31" s="67">
        <v>3715691932.8299999</v>
      </c>
      <c r="F31" s="67"/>
      <c r="G31" s="67">
        <v>12010666.75</v>
      </c>
      <c r="H31" s="67"/>
      <c r="I31" s="67">
        <v>0</v>
      </c>
      <c r="J31" s="67"/>
      <c r="K31" s="67">
        <v>3727702599.5799999</v>
      </c>
    </row>
    <row r="32" spans="1:11" ht="13.5" customHeight="1" x14ac:dyDescent="0.25">
      <c r="A32" s="18" t="s">
        <v>425</v>
      </c>
      <c r="B32" s="13"/>
      <c r="C32" s="13"/>
      <c r="D32" s="15"/>
      <c r="E32" s="67">
        <v>-3705316051.9099998</v>
      </c>
      <c r="F32" s="67"/>
      <c r="G32" s="67">
        <v>-12010666.75</v>
      </c>
      <c r="H32" s="67"/>
      <c r="I32" s="67">
        <v>0</v>
      </c>
      <c r="J32" s="67"/>
      <c r="K32" s="67">
        <v>-3717326718.6599998</v>
      </c>
    </row>
    <row r="33" spans="1:11" ht="13.5" customHeight="1" x14ac:dyDescent="0.2">
      <c r="A33" s="133" t="s">
        <v>426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ht="13.5" customHeight="1" x14ac:dyDescent="0.2">
      <c r="A34" s="9"/>
      <c r="B34" s="10" t="s">
        <v>22</v>
      </c>
      <c r="C34" s="9"/>
      <c r="D34" s="22"/>
      <c r="E34" s="51"/>
      <c r="F34" s="65"/>
      <c r="G34" s="51"/>
      <c r="H34" s="65"/>
      <c r="I34" s="51"/>
      <c r="J34" s="65"/>
      <c r="K34" s="65"/>
    </row>
    <row r="35" spans="1:11" ht="13.5" customHeight="1" x14ac:dyDescent="0.2">
      <c r="A35" s="12"/>
      <c r="B35" s="12"/>
      <c r="C35" s="12" t="s">
        <v>32</v>
      </c>
      <c r="D35" s="6"/>
      <c r="E35" s="51">
        <v>0</v>
      </c>
      <c r="F35" s="65"/>
      <c r="G35" s="65">
        <v>0</v>
      </c>
      <c r="H35" s="65"/>
      <c r="I35" s="65">
        <v>0</v>
      </c>
      <c r="J35" s="65"/>
      <c r="K35" s="65">
        <f>SUM(E35:I35)</f>
        <v>0</v>
      </c>
    </row>
    <row r="36" spans="1:11" ht="13.5" customHeight="1" x14ac:dyDescent="0.2">
      <c r="A36" s="50"/>
      <c r="B36" s="18" t="s">
        <v>26</v>
      </c>
      <c r="C36" s="50"/>
      <c r="D36" s="71"/>
      <c r="E36" s="72">
        <v>0</v>
      </c>
      <c r="F36" s="73"/>
      <c r="G36" s="73">
        <v>0</v>
      </c>
      <c r="H36" s="73"/>
      <c r="I36" s="73">
        <v>0</v>
      </c>
      <c r="J36" s="73"/>
      <c r="K36" s="72">
        <f>SUM(K35)</f>
        <v>0</v>
      </c>
    </row>
    <row r="37" spans="1:11" ht="13.5" customHeight="1" x14ac:dyDescent="0.2">
      <c r="A37" s="9"/>
      <c r="B37" s="10" t="s">
        <v>27</v>
      </c>
      <c r="C37" s="9"/>
      <c r="D37" s="22"/>
      <c r="E37" s="51"/>
      <c r="F37" s="65"/>
      <c r="G37" s="51"/>
      <c r="H37" s="65"/>
      <c r="I37" s="51"/>
      <c r="J37" s="65"/>
      <c r="K37" s="65"/>
    </row>
    <row r="38" spans="1:11" ht="13.5" customHeight="1" x14ac:dyDescent="0.2">
      <c r="A38" s="12"/>
      <c r="B38" s="12"/>
      <c r="C38" s="12" t="s">
        <v>427</v>
      </c>
      <c r="D38" s="6"/>
      <c r="E38" s="51"/>
      <c r="F38" s="65"/>
      <c r="G38" s="51"/>
      <c r="H38" s="65"/>
      <c r="I38" s="51"/>
      <c r="J38" s="65"/>
      <c r="K38" s="65">
        <f>SUM(E38:I38)</f>
        <v>0</v>
      </c>
    </row>
    <row r="39" spans="1:11" ht="13.5" customHeight="1" x14ac:dyDescent="0.2">
      <c r="A39" s="50"/>
      <c r="B39" s="18" t="s">
        <v>30</v>
      </c>
      <c r="C39" s="50"/>
      <c r="D39" s="71"/>
      <c r="E39" s="73">
        <f t="shared" ref="E39:K39" si="1">SUM(E38)</f>
        <v>0</v>
      </c>
      <c r="F39" s="73">
        <f t="shared" si="1"/>
        <v>0</v>
      </c>
      <c r="G39" s="73">
        <f t="shared" si="1"/>
        <v>0</v>
      </c>
      <c r="H39" s="73">
        <f t="shared" si="1"/>
        <v>0</v>
      </c>
      <c r="I39" s="73">
        <f t="shared" si="1"/>
        <v>0</v>
      </c>
      <c r="J39" s="73">
        <f t="shared" si="1"/>
        <v>0</v>
      </c>
      <c r="K39" s="73">
        <f t="shared" si="1"/>
        <v>0</v>
      </c>
    </row>
    <row r="40" spans="1:11" ht="13.5" customHeight="1" x14ac:dyDescent="0.25">
      <c r="A40" s="18" t="s">
        <v>33</v>
      </c>
      <c r="B40" s="13"/>
      <c r="C40" s="13"/>
      <c r="D40" s="15"/>
      <c r="E40" s="67">
        <f t="shared" ref="E40:K40" si="2">+E36-E39</f>
        <v>0</v>
      </c>
      <c r="F40" s="67">
        <f t="shared" si="2"/>
        <v>0</v>
      </c>
      <c r="G40" s="67">
        <f t="shared" si="2"/>
        <v>0</v>
      </c>
      <c r="H40" s="67">
        <f t="shared" si="2"/>
        <v>0</v>
      </c>
      <c r="I40" s="67">
        <f t="shared" si="2"/>
        <v>0</v>
      </c>
      <c r="J40" s="67">
        <f t="shared" si="2"/>
        <v>0</v>
      </c>
      <c r="K40" s="67">
        <f t="shared" si="2"/>
        <v>0</v>
      </c>
    </row>
    <row r="41" spans="1:11" ht="28.5" customHeight="1" x14ac:dyDescent="0.25">
      <c r="A41" s="134" t="s">
        <v>428</v>
      </c>
      <c r="B41" s="135"/>
      <c r="C41" s="135"/>
      <c r="D41" s="135"/>
      <c r="E41" s="74">
        <v>-1532147658.6800041</v>
      </c>
      <c r="F41" s="74"/>
      <c r="G41" s="74">
        <v>263806043.11999989</v>
      </c>
      <c r="H41" s="74"/>
      <c r="I41" s="74">
        <v>-168919737.01999998</v>
      </c>
      <c r="J41" s="74"/>
      <c r="K41" s="74">
        <v>-1437261352.5800042</v>
      </c>
    </row>
    <row r="42" spans="1:11" ht="13.5" customHeight="1" x14ac:dyDescent="0.2">
      <c r="A42" s="18" t="s">
        <v>429</v>
      </c>
      <c r="B42" s="18"/>
      <c r="C42" s="18"/>
      <c r="D42" s="71"/>
      <c r="E42" s="67">
        <v>8003324959.6000004</v>
      </c>
      <c r="F42" s="67"/>
      <c r="G42" s="67">
        <v>2579909315.6599998</v>
      </c>
      <c r="H42" s="67"/>
      <c r="I42" s="67">
        <v>778988766.57000005</v>
      </c>
      <c r="J42" s="67"/>
      <c r="K42" s="67">
        <v>11362223041.83</v>
      </c>
    </row>
    <row r="43" spans="1:11" ht="13.5" customHeight="1" x14ac:dyDescent="0.2">
      <c r="A43" s="18" t="s">
        <v>430</v>
      </c>
      <c r="B43" s="18"/>
      <c r="C43" s="18"/>
      <c r="D43" s="19"/>
      <c r="E43" s="67">
        <v>6471177300.9199963</v>
      </c>
      <c r="F43" s="67" t="s">
        <v>50</v>
      </c>
      <c r="G43" s="67">
        <v>2843715358.7799997</v>
      </c>
      <c r="H43" s="67"/>
      <c r="I43" s="67">
        <v>610069029.55000007</v>
      </c>
      <c r="J43" s="67"/>
      <c r="K43" s="67">
        <v>9924961689.2499962</v>
      </c>
    </row>
    <row r="44" spans="1:11" ht="13.5" customHeight="1" x14ac:dyDescent="0.2">
      <c r="A44" s="75"/>
      <c r="B44" s="75"/>
      <c r="C44" s="75"/>
      <c r="D44" s="22"/>
      <c r="E44" s="61"/>
      <c r="F44" s="62"/>
      <c r="G44" s="61"/>
      <c r="H44" s="62"/>
      <c r="I44" s="61"/>
      <c r="J44" s="62"/>
      <c r="K44" s="70"/>
    </row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</sheetData>
  <sheetProtection algorithmName="SHA-512" hashValue="0RqaCUbVLN0jV+JCyfqAn9dkqPqAFS+34SpfTPQzbGn9XsuwPc0Z33/tdCia1YbzzrHzaTk1ZtmXqLTmdKIBFA==" saltValue="zBS2QgCjLQ8CqcM7mbE/lA==" spinCount="100000" sheet="1" objects="1" scenarios="1" selectLockedCells="1" selectUnlockedCells="1"/>
  <mergeCells count="8">
    <mergeCell ref="A22:K22"/>
    <mergeCell ref="A33:K33"/>
    <mergeCell ref="A41:D41"/>
    <mergeCell ref="A2:K2"/>
    <mergeCell ref="A3:K3"/>
    <mergeCell ref="A4:K4"/>
    <mergeCell ref="A5:K5"/>
    <mergeCell ref="A8:K8"/>
  </mergeCells>
  <pageMargins left="0.70866141732283472" right="0.70866141732283472" top="0.74803149606299213" bottom="0.74803149606299213" header="0" footer="0"/>
  <pageSetup scale="99" fitToHeight="0" orientation="landscape" r:id="rId1"/>
  <headerFooter>
    <oddHeader>&amp;R&amp;"Arial,Bold"&amp;11ANNEX C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738"/>
  <sheetViews>
    <sheetView showGridLines="0" zoomScaleNormal="100" zoomScaleSheetLayoutView="90" workbookViewId="0">
      <selection activeCell="A4" sqref="A4:I4"/>
    </sheetView>
  </sheetViews>
  <sheetFormatPr defaultColWidth="14.42578125" defaultRowHeight="15" customHeight="1" x14ac:dyDescent="0.2"/>
  <cols>
    <col min="1" max="1" width="2.7109375" customWidth="1"/>
    <col min="2" max="2" width="1.85546875" customWidth="1"/>
    <col min="3" max="3" width="42.85546875" customWidth="1"/>
    <col min="4" max="4" width="1.140625" customWidth="1"/>
    <col min="5" max="5" width="21.28515625" customWidth="1"/>
    <col min="6" max="6" width="1.140625" customWidth="1"/>
    <col min="7" max="7" width="21.28515625" customWidth="1"/>
    <col min="8" max="8" width="1.28515625" customWidth="1"/>
    <col min="9" max="9" width="21.28515625" customWidth="1"/>
  </cols>
  <sheetData>
    <row r="1" spans="1:9" ht="13.5" customHeight="1" x14ac:dyDescent="0.25">
      <c r="A1" s="1"/>
      <c r="B1" s="1"/>
      <c r="C1" s="1"/>
      <c r="D1" s="22"/>
      <c r="E1" s="76"/>
      <c r="F1" s="22"/>
      <c r="G1" s="77"/>
      <c r="H1" s="22"/>
      <c r="I1" s="78"/>
    </row>
    <row r="2" spans="1:9" ht="13.5" customHeight="1" x14ac:dyDescent="0.25">
      <c r="A2" s="131" t="s">
        <v>0</v>
      </c>
      <c r="B2" s="126"/>
      <c r="C2" s="126"/>
      <c r="D2" s="126"/>
      <c r="E2" s="126"/>
      <c r="F2" s="126"/>
      <c r="G2" s="126"/>
      <c r="H2" s="126"/>
      <c r="I2" s="126"/>
    </row>
    <row r="3" spans="1:9" ht="13.5" customHeight="1" x14ac:dyDescent="0.25">
      <c r="A3" s="131" t="s">
        <v>542</v>
      </c>
      <c r="B3" s="126"/>
      <c r="C3" s="126"/>
      <c r="D3" s="126"/>
      <c r="E3" s="126"/>
      <c r="F3" s="126"/>
      <c r="G3" s="126"/>
      <c r="H3" s="126"/>
      <c r="I3" s="126"/>
    </row>
    <row r="4" spans="1:9" ht="13.5" customHeight="1" x14ac:dyDescent="0.25">
      <c r="A4" s="131" t="s">
        <v>19</v>
      </c>
      <c r="B4" s="128"/>
      <c r="C4" s="128"/>
      <c r="D4" s="128"/>
      <c r="E4" s="128"/>
      <c r="F4" s="128"/>
      <c r="G4" s="128"/>
      <c r="H4" s="128"/>
      <c r="I4" s="128"/>
    </row>
    <row r="5" spans="1:9" ht="13.5" customHeight="1" x14ac:dyDescent="0.2">
      <c r="A5" s="132" t="s">
        <v>2</v>
      </c>
      <c r="B5" s="126"/>
      <c r="C5" s="126"/>
      <c r="D5" s="126"/>
      <c r="E5" s="126"/>
      <c r="F5" s="126"/>
      <c r="G5" s="126"/>
      <c r="H5" s="126"/>
      <c r="I5" s="126"/>
    </row>
    <row r="6" spans="1:9" ht="13.5" customHeight="1" x14ac:dyDescent="0.25">
      <c r="A6" s="24"/>
      <c r="B6" s="24"/>
      <c r="C6" s="24"/>
      <c r="D6" s="25"/>
      <c r="E6" s="76"/>
      <c r="F6" s="25"/>
      <c r="G6" s="76"/>
      <c r="H6" s="25"/>
      <c r="I6" s="78"/>
    </row>
    <row r="7" spans="1:9" ht="28.9" customHeight="1" x14ac:dyDescent="0.25">
      <c r="A7" s="30"/>
      <c r="B7" s="30"/>
      <c r="C7" s="30"/>
      <c r="D7" s="79"/>
      <c r="E7" s="80" t="s">
        <v>72</v>
      </c>
      <c r="F7" s="79"/>
      <c r="G7" s="81" t="s">
        <v>73</v>
      </c>
      <c r="H7" s="79"/>
      <c r="I7" s="37" t="s">
        <v>75</v>
      </c>
    </row>
    <row r="8" spans="1:9" ht="13.5" customHeight="1" x14ac:dyDescent="0.2">
      <c r="A8" s="1"/>
      <c r="B8" s="1"/>
      <c r="C8" s="1"/>
      <c r="D8" s="22"/>
      <c r="E8" s="76"/>
      <c r="F8" s="22"/>
      <c r="G8" s="76"/>
      <c r="H8" s="22"/>
      <c r="I8" s="36"/>
    </row>
    <row r="9" spans="1:9" ht="13.5" customHeight="1" x14ac:dyDescent="0.2">
      <c r="A9" s="1"/>
      <c r="B9" s="1"/>
      <c r="C9" s="1"/>
      <c r="D9" s="82"/>
      <c r="E9" s="76"/>
      <c r="F9" s="82"/>
      <c r="G9" s="76"/>
      <c r="H9" s="82"/>
      <c r="I9" s="36"/>
    </row>
    <row r="10" spans="1:9" ht="13.5" customHeight="1" x14ac:dyDescent="0.2">
      <c r="A10" s="10" t="s">
        <v>431</v>
      </c>
      <c r="B10" s="10"/>
      <c r="C10" s="10"/>
      <c r="D10" s="82"/>
      <c r="E10" s="65">
        <v>39736838586.849998</v>
      </c>
      <c r="F10" s="83"/>
      <c r="G10" s="65">
        <v>6220295836.0699997</v>
      </c>
      <c r="H10" s="83"/>
      <c r="I10" s="65">
        <v>45957134422.919998</v>
      </c>
    </row>
    <row r="11" spans="1:9" ht="13.5" customHeight="1" x14ac:dyDescent="0.2">
      <c r="A11" s="10"/>
      <c r="B11" s="10" t="s">
        <v>21</v>
      </c>
      <c r="C11" s="10"/>
      <c r="D11" s="82"/>
      <c r="E11" s="65"/>
      <c r="F11" s="83"/>
      <c r="G11" s="65"/>
      <c r="H11" s="83"/>
      <c r="I11" s="65"/>
    </row>
    <row r="12" spans="1:9" ht="13.5" customHeight="1" x14ac:dyDescent="0.2">
      <c r="A12" s="32"/>
      <c r="B12" s="32"/>
      <c r="C12" s="32" t="s">
        <v>34</v>
      </c>
      <c r="D12" s="82"/>
      <c r="E12" s="65"/>
      <c r="F12" s="83"/>
      <c r="G12" s="51"/>
      <c r="H12" s="83"/>
      <c r="I12" s="65">
        <v>0</v>
      </c>
    </row>
    <row r="13" spans="1:9" ht="13.5" customHeight="1" x14ac:dyDescent="0.25">
      <c r="A13" s="13" t="s">
        <v>432</v>
      </c>
      <c r="B13" s="13"/>
      <c r="C13" s="13"/>
      <c r="D13" s="84"/>
      <c r="E13" s="67">
        <v>39736838586.849998</v>
      </c>
      <c r="F13" s="85"/>
      <c r="G13" s="86">
        <v>6220295836.0699997</v>
      </c>
      <c r="H13" s="87"/>
      <c r="I13" s="67">
        <v>45957134422.919998</v>
      </c>
    </row>
    <row r="14" spans="1:9" ht="13.5" customHeight="1" x14ac:dyDescent="0.2">
      <c r="A14" s="10"/>
      <c r="B14" s="10"/>
      <c r="C14" s="10"/>
      <c r="D14" s="88"/>
      <c r="E14" s="89"/>
      <c r="F14" s="90"/>
      <c r="G14" s="91"/>
      <c r="H14" s="90"/>
      <c r="I14" s="89"/>
    </row>
    <row r="15" spans="1:9" ht="13.5" customHeight="1" x14ac:dyDescent="0.2">
      <c r="A15" s="12"/>
      <c r="B15" s="10" t="s">
        <v>21</v>
      </c>
      <c r="C15" s="12"/>
      <c r="D15" s="82"/>
      <c r="E15" s="51"/>
      <c r="F15" s="83"/>
      <c r="G15" s="92"/>
      <c r="H15" s="83"/>
      <c r="I15" s="65"/>
    </row>
    <row r="16" spans="1:9" ht="13.5" customHeight="1" x14ac:dyDescent="0.2">
      <c r="A16" s="10"/>
      <c r="B16" s="10" t="s">
        <v>433</v>
      </c>
      <c r="C16" s="10"/>
      <c r="D16" s="82"/>
      <c r="E16" s="51"/>
      <c r="F16" s="83"/>
      <c r="G16" s="92"/>
      <c r="H16" s="83"/>
      <c r="I16" s="65"/>
    </row>
    <row r="17" spans="1:9" ht="13.5" customHeight="1" x14ac:dyDescent="0.2">
      <c r="A17" s="12"/>
      <c r="B17" s="12"/>
      <c r="C17" s="12" t="s">
        <v>434</v>
      </c>
      <c r="D17" s="82"/>
      <c r="E17" s="65">
        <v>-2808522832.2399998</v>
      </c>
      <c r="F17" s="83"/>
      <c r="G17" s="65">
        <v>-724920540.11000001</v>
      </c>
      <c r="H17" s="83"/>
      <c r="I17" s="65">
        <v>-3533443372.3499999</v>
      </c>
    </row>
    <row r="18" spans="1:9" ht="13.5" customHeight="1" x14ac:dyDescent="0.2">
      <c r="A18" s="32"/>
      <c r="B18" s="32"/>
      <c r="C18" s="12" t="s">
        <v>35</v>
      </c>
      <c r="D18" s="82"/>
      <c r="E18" s="65">
        <v>2942380795.0900002</v>
      </c>
      <c r="F18" s="83"/>
      <c r="G18" s="65">
        <v>329817963.70999998</v>
      </c>
      <c r="H18" s="83"/>
      <c r="I18" s="65">
        <v>3272198758.8000002</v>
      </c>
    </row>
    <row r="19" spans="1:9" ht="28.5" customHeight="1" x14ac:dyDescent="0.25">
      <c r="A19" s="40"/>
      <c r="B19" s="138" t="s">
        <v>435</v>
      </c>
      <c r="C19" s="135"/>
      <c r="D19" s="93"/>
      <c r="E19" s="94">
        <v>133857962.85000038</v>
      </c>
      <c r="F19" s="95"/>
      <c r="G19" s="94">
        <v>-395102576.40000004</v>
      </c>
      <c r="H19" s="95"/>
      <c r="I19" s="94">
        <v>-261244613.54999971</v>
      </c>
    </row>
    <row r="20" spans="1:9" ht="13.5" customHeight="1" x14ac:dyDescent="0.2">
      <c r="A20" s="18" t="s">
        <v>436</v>
      </c>
      <c r="B20" s="18"/>
      <c r="C20" s="18"/>
      <c r="D20" s="96"/>
      <c r="E20" s="67">
        <v>39870696549.699997</v>
      </c>
      <c r="F20" s="97"/>
      <c r="G20" s="86">
        <v>5825193259.6700001</v>
      </c>
      <c r="H20" s="98"/>
      <c r="I20" s="67">
        <v>45695889809.369995</v>
      </c>
    </row>
    <row r="21" spans="1:9" ht="15.75" customHeight="1" x14ac:dyDescent="0.2"/>
    <row r="22" spans="1:9" ht="15.75" customHeight="1" x14ac:dyDescent="0.2"/>
    <row r="23" spans="1:9" ht="15.75" customHeight="1" x14ac:dyDescent="0.2"/>
    <row r="24" spans="1:9" ht="15.75" customHeight="1" x14ac:dyDescent="0.2"/>
    <row r="25" spans="1:9" ht="15.75" customHeight="1" x14ac:dyDescent="0.2"/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</sheetData>
  <sheetProtection algorithmName="SHA-512" hashValue="+Qj9assGW0Hwny9M/xzCIjV1/Wg5v+ZJxjBLG9pxeixknuGhISwS+oX077MqR+63U3aDdul1C7RDUAvb+AD5xQ==" saltValue="E1cMkmO1zLCtiHIB8jJBKg==" spinCount="100000" sheet="1" objects="1" scenarios="1" selectLockedCells="1" selectUnlockedCells="1"/>
  <mergeCells count="5">
    <mergeCell ref="A2:I2"/>
    <mergeCell ref="A3:I3"/>
    <mergeCell ref="A4:I4"/>
    <mergeCell ref="A5:I5"/>
    <mergeCell ref="B19:C19"/>
  </mergeCells>
  <printOptions horizontalCentered="1"/>
  <pageMargins left="0.51181102362204722" right="0.39370078740157483" top="0.39370078740157483" bottom="0.39370078740157483" header="0" footer="0"/>
  <pageSetup fitToHeight="0" orientation="landscape" r:id="rId1"/>
  <headerFooter>
    <oddHeader>&amp;R&amp;"Arial,Bold"&amp;11ANNEX 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680"/>
  <sheetViews>
    <sheetView showGridLines="0" zoomScaleNormal="100" zoomScaleSheetLayoutView="100" workbookViewId="0"/>
  </sheetViews>
  <sheetFormatPr defaultColWidth="14.42578125" defaultRowHeight="15" customHeight="1" x14ac:dyDescent="0.2"/>
  <cols>
    <col min="1" max="1" width="42.7109375" customWidth="1"/>
    <col min="2" max="6" width="22.42578125" customWidth="1"/>
  </cols>
  <sheetData>
    <row r="1" spans="1:6" ht="13.5" customHeight="1" x14ac:dyDescent="0.25">
      <c r="A1" s="1"/>
      <c r="B1" s="36"/>
      <c r="C1" s="36"/>
      <c r="D1" s="36"/>
      <c r="E1" s="36"/>
      <c r="F1" s="78"/>
    </row>
    <row r="2" spans="1:6" ht="13.5" customHeight="1" x14ac:dyDescent="0.25">
      <c r="A2" s="131" t="s">
        <v>0</v>
      </c>
      <c r="B2" s="126"/>
      <c r="C2" s="126"/>
      <c r="D2" s="126"/>
      <c r="E2" s="126"/>
      <c r="F2" s="126"/>
    </row>
    <row r="3" spans="1:6" ht="13.5" customHeight="1" x14ac:dyDescent="0.25">
      <c r="A3" s="131" t="s">
        <v>437</v>
      </c>
      <c r="B3" s="126"/>
      <c r="C3" s="126"/>
      <c r="D3" s="126"/>
      <c r="E3" s="126"/>
      <c r="F3" s="126"/>
    </row>
    <row r="4" spans="1:6" ht="13.5" customHeight="1" x14ac:dyDescent="0.25">
      <c r="A4" s="131" t="s">
        <v>19</v>
      </c>
      <c r="B4" s="128"/>
      <c r="C4" s="128"/>
      <c r="D4" s="128"/>
      <c r="E4" s="128"/>
      <c r="F4" s="128"/>
    </row>
    <row r="5" spans="1:6" ht="13.5" customHeight="1" x14ac:dyDescent="0.2">
      <c r="A5" s="142" t="s">
        <v>2</v>
      </c>
      <c r="B5" s="126"/>
      <c r="C5" s="126"/>
      <c r="D5" s="126"/>
      <c r="E5" s="126"/>
      <c r="F5" s="126"/>
    </row>
    <row r="6" spans="1:6" ht="13.5" customHeight="1" x14ac:dyDescent="0.25">
      <c r="A6" s="11"/>
      <c r="B6" s="36"/>
      <c r="C6" s="36"/>
      <c r="D6" s="36"/>
      <c r="E6" s="36"/>
      <c r="F6" s="36"/>
    </row>
    <row r="7" spans="1:6" ht="13.5" customHeight="1" x14ac:dyDescent="0.2">
      <c r="A7" s="125"/>
      <c r="B7" s="143" t="s">
        <v>36</v>
      </c>
      <c r="C7" s="126"/>
      <c r="D7" s="141" t="s">
        <v>37</v>
      </c>
      <c r="E7" s="139" t="s">
        <v>38</v>
      </c>
      <c r="F7" s="141" t="s">
        <v>39</v>
      </c>
    </row>
    <row r="8" spans="1:6" ht="13.5" customHeight="1" x14ac:dyDescent="0.2">
      <c r="A8" s="140"/>
      <c r="B8" s="99" t="s">
        <v>40</v>
      </c>
      <c r="C8" s="99" t="s">
        <v>41</v>
      </c>
      <c r="D8" s="140"/>
      <c r="E8" s="140"/>
      <c r="F8" s="140"/>
    </row>
    <row r="9" spans="1:6" ht="13.5" customHeight="1" x14ac:dyDescent="0.25">
      <c r="A9" s="10" t="s">
        <v>72</v>
      </c>
      <c r="B9" s="78"/>
      <c r="C9" s="78"/>
      <c r="D9" s="78"/>
      <c r="E9" s="78"/>
      <c r="F9" s="78"/>
    </row>
    <row r="10" spans="1:6" ht="13.5" customHeight="1" x14ac:dyDescent="0.25">
      <c r="A10" s="11" t="s">
        <v>42</v>
      </c>
      <c r="B10" s="36"/>
      <c r="C10" s="36"/>
      <c r="D10" s="36"/>
      <c r="E10" s="36"/>
      <c r="F10" s="36"/>
    </row>
    <row r="11" spans="1:6" ht="13.5" customHeight="1" x14ac:dyDescent="0.25">
      <c r="A11" s="21" t="s">
        <v>438</v>
      </c>
      <c r="B11" s="16"/>
      <c r="C11" s="16"/>
      <c r="D11" s="16"/>
      <c r="E11" s="16"/>
      <c r="F11" s="16"/>
    </row>
    <row r="12" spans="1:6" ht="13.5" customHeight="1" x14ac:dyDescent="0.2">
      <c r="A12" s="27" t="s">
        <v>455</v>
      </c>
      <c r="B12" s="16"/>
      <c r="C12" s="16"/>
      <c r="D12" s="16"/>
      <c r="E12" s="16"/>
      <c r="F12" s="16"/>
    </row>
    <row r="13" spans="1:6" ht="13.5" customHeight="1" x14ac:dyDescent="0.2">
      <c r="A13" s="27" t="s">
        <v>439</v>
      </c>
      <c r="B13" s="16">
        <v>1245655398</v>
      </c>
      <c r="C13" s="16">
        <v>1245655398</v>
      </c>
      <c r="D13" s="16">
        <v>0</v>
      </c>
      <c r="E13" s="16">
        <v>1900034258.3699999</v>
      </c>
      <c r="F13" s="16">
        <v>-654378860.36999989</v>
      </c>
    </row>
    <row r="14" spans="1:6" ht="13.5" customHeight="1" x14ac:dyDescent="0.2">
      <c r="A14" s="27" t="s">
        <v>440</v>
      </c>
      <c r="B14" s="16">
        <v>7225154324</v>
      </c>
      <c r="C14" s="16">
        <v>7225154324</v>
      </c>
      <c r="D14" s="16">
        <v>0</v>
      </c>
      <c r="E14" s="16">
        <v>7995919218.7399998</v>
      </c>
      <c r="F14" s="16">
        <v>-770764894.73999977</v>
      </c>
    </row>
    <row r="15" spans="1:6" ht="13.5" customHeight="1" x14ac:dyDescent="0.2">
      <c r="A15" s="27" t="s">
        <v>441</v>
      </c>
      <c r="B15" s="16">
        <v>292900000</v>
      </c>
      <c r="C15" s="16">
        <v>292900000</v>
      </c>
      <c r="D15" s="16">
        <v>0</v>
      </c>
      <c r="E15" s="16">
        <v>479925198.77999997</v>
      </c>
      <c r="F15" s="16">
        <v>-187025198.77999997</v>
      </c>
    </row>
    <row r="16" spans="1:6" ht="13.5" customHeight="1" x14ac:dyDescent="0.25">
      <c r="A16" s="13" t="s">
        <v>43</v>
      </c>
      <c r="B16" s="14">
        <v>8763709722</v>
      </c>
      <c r="C16" s="14">
        <v>8763709722</v>
      </c>
      <c r="D16" s="14">
        <v>0</v>
      </c>
      <c r="E16" s="14">
        <v>10375878675.890001</v>
      </c>
      <c r="F16" s="14">
        <v>-1612168953.8899996</v>
      </c>
    </row>
    <row r="17" spans="1:6" ht="13.5" customHeight="1" x14ac:dyDescent="0.2">
      <c r="A17" s="27" t="s">
        <v>456</v>
      </c>
      <c r="B17" s="16"/>
      <c r="C17" s="16"/>
      <c r="D17" s="16"/>
      <c r="E17" s="16"/>
      <c r="F17" s="16"/>
    </row>
    <row r="18" spans="1:6" ht="13.5" customHeight="1" x14ac:dyDescent="0.2">
      <c r="A18" s="27" t="s">
        <v>442</v>
      </c>
      <c r="B18" s="16">
        <v>539581439</v>
      </c>
      <c r="C18" s="16">
        <v>539581439</v>
      </c>
      <c r="D18" s="16">
        <v>0</v>
      </c>
      <c r="E18" s="16">
        <v>176578596.66999999</v>
      </c>
      <c r="F18" s="16">
        <v>363002842.33000004</v>
      </c>
    </row>
    <row r="19" spans="1:6" ht="13.5" customHeight="1" x14ac:dyDescent="0.2">
      <c r="A19" s="27" t="s">
        <v>443</v>
      </c>
      <c r="B19" s="16">
        <v>1180776704</v>
      </c>
      <c r="C19" s="16">
        <v>1180776704</v>
      </c>
      <c r="D19" s="16">
        <v>0</v>
      </c>
      <c r="E19" s="16">
        <v>1759363136.6800001</v>
      </c>
      <c r="F19" s="16">
        <v>-578586432.68000007</v>
      </c>
    </row>
    <row r="20" spans="1:6" ht="13.5" customHeight="1" x14ac:dyDescent="0.2">
      <c r="A20" s="27" t="s">
        <v>444</v>
      </c>
      <c r="B20" s="16">
        <v>229500000</v>
      </c>
      <c r="C20" s="16">
        <v>229500000</v>
      </c>
      <c r="D20" s="16">
        <v>0</v>
      </c>
      <c r="E20" s="16">
        <v>1005483837.5</v>
      </c>
      <c r="F20" s="16">
        <v>-775983837.5</v>
      </c>
    </row>
    <row r="21" spans="1:6" ht="13.5" customHeight="1" x14ac:dyDescent="0.25">
      <c r="A21" s="13" t="s">
        <v>445</v>
      </c>
      <c r="B21" s="14">
        <v>1949858143</v>
      </c>
      <c r="C21" s="14">
        <v>1949858143</v>
      </c>
      <c r="D21" s="14">
        <v>0</v>
      </c>
      <c r="E21" s="14">
        <v>2941425570.8500004</v>
      </c>
      <c r="F21" s="14">
        <v>-991567427.85000002</v>
      </c>
    </row>
    <row r="22" spans="1:6" ht="13.5" customHeight="1" x14ac:dyDescent="0.25">
      <c r="A22" s="21" t="s">
        <v>446</v>
      </c>
      <c r="B22" s="16"/>
      <c r="C22" s="16"/>
      <c r="D22" s="16"/>
      <c r="E22" s="16"/>
      <c r="F22" s="16"/>
    </row>
    <row r="23" spans="1:6" ht="29.45" customHeight="1" x14ac:dyDescent="0.2">
      <c r="A23" s="57" t="s">
        <v>539</v>
      </c>
      <c r="B23" s="51">
        <v>2203059848</v>
      </c>
      <c r="C23" s="51">
        <v>2203059848</v>
      </c>
      <c r="D23" s="51">
        <v>0</v>
      </c>
      <c r="E23" s="51">
        <v>2204010074.96</v>
      </c>
      <c r="F23" s="51">
        <v>-950226.96000003815</v>
      </c>
    </row>
    <row r="24" spans="1:6" ht="13.5" customHeight="1" x14ac:dyDescent="0.2">
      <c r="A24" s="27" t="s">
        <v>457</v>
      </c>
      <c r="B24" s="16">
        <v>0</v>
      </c>
      <c r="C24" s="16">
        <v>0</v>
      </c>
      <c r="D24" s="16">
        <v>0</v>
      </c>
      <c r="E24" s="16">
        <v>4863264.95</v>
      </c>
      <c r="F24" s="16">
        <v>-4863264.95</v>
      </c>
    </row>
    <row r="25" spans="1:6" ht="13.5" customHeight="1" x14ac:dyDescent="0.2">
      <c r="A25" s="27" t="s">
        <v>458</v>
      </c>
      <c r="B25" s="16"/>
      <c r="C25" s="16"/>
      <c r="D25" s="16">
        <v>0</v>
      </c>
      <c r="E25" s="16"/>
      <c r="F25" s="16">
        <v>0</v>
      </c>
    </row>
    <row r="26" spans="1:6" ht="13.5" customHeight="1" x14ac:dyDescent="0.2">
      <c r="A26" s="27" t="s">
        <v>447</v>
      </c>
      <c r="B26" s="16">
        <v>170000000</v>
      </c>
      <c r="C26" s="16">
        <v>170000000</v>
      </c>
      <c r="D26" s="16">
        <v>0</v>
      </c>
      <c r="E26" s="16">
        <v>362123352.30000001</v>
      </c>
      <c r="F26" s="16">
        <v>-192123352.30000001</v>
      </c>
    </row>
    <row r="27" spans="1:6" ht="13.5" hidden="1" customHeight="1" x14ac:dyDescent="0.2">
      <c r="A27" s="27" t="s">
        <v>448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</row>
    <row r="28" spans="1:6" ht="13.5" hidden="1" customHeight="1" x14ac:dyDescent="0.2">
      <c r="A28" s="27" t="s">
        <v>459</v>
      </c>
      <c r="B28" s="16"/>
      <c r="C28" s="16"/>
      <c r="D28" s="16"/>
      <c r="E28" s="16"/>
      <c r="F28" s="16"/>
    </row>
    <row r="29" spans="1:6" ht="13.5" hidden="1" customHeight="1" x14ac:dyDescent="0.2">
      <c r="A29" s="27" t="s">
        <v>449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</row>
    <row r="30" spans="1:6" ht="13.5" hidden="1" customHeight="1" x14ac:dyDescent="0.2">
      <c r="A30" s="27" t="s">
        <v>460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</row>
    <row r="31" spans="1:6" ht="13.5" customHeight="1" x14ac:dyDescent="0.25">
      <c r="A31" s="13" t="s">
        <v>45</v>
      </c>
      <c r="B31" s="14">
        <v>2373059848</v>
      </c>
      <c r="C31" s="14">
        <v>2373059848</v>
      </c>
      <c r="D31" s="14">
        <v>0</v>
      </c>
      <c r="E31" s="14">
        <v>2570996692.21</v>
      </c>
      <c r="F31" s="14">
        <v>-197936844.21000004</v>
      </c>
    </row>
    <row r="32" spans="1:6" ht="13.5" customHeight="1" x14ac:dyDescent="0.25">
      <c r="A32" s="13" t="s">
        <v>450</v>
      </c>
      <c r="B32" s="14">
        <v>0</v>
      </c>
      <c r="C32" s="14"/>
      <c r="D32" s="14">
        <v>0</v>
      </c>
      <c r="E32" s="14">
        <v>0</v>
      </c>
      <c r="F32" s="14">
        <v>0</v>
      </c>
    </row>
    <row r="33" spans="1:6" ht="13.5" customHeight="1" x14ac:dyDescent="0.25">
      <c r="A33" s="23" t="s">
        <v>46</v>
      </c>
      <c r="B33" s="14">
        <v>13086627713</v>
      </c>
      <c r="C33" s="14">
        <v>13086627713</v>
      </c>
      <c r="D33" s="14">
        <v>0</v>
      </c>
      <c r="E33" s="14">
        <v>15888300938.950001</v>
      </c>
      <c r="F33" s="14">
        <v>-2801673225.9499998</v>
      </c>
    </row>
    <row r="34" spans="1:6" ht="13.5" customHeight="1" x14ac:dyDescent="0.2">
      <c r="A34" s="1"/>
      <c r="B34" s="16"/>
      <c r="C34" s="16"/>
      <c r="D34" s="16"/>
      <c r="E34" s="16"/>
      <c r="F34" s="16"/>
    </row>
    <row r="35" spans="1:6" ht="13.5" customHeight="1" x14ac:dyDescent="0.25">
      <c r="A35" s="11" t="s">
        <v>47</v>
      </c>
      <c r="B35" s="16"/>
      <c r="C35" s="16"/>
      <c r="D35" s="16"/>
      <c r="E35" s="16"/>
      <c r="F35" s="16"/>
    </row>
    <row r="36" spans="1:6" ht="13.5" customHeight="1" x14ac:dyDescent="0.25">
      <c r="A36" s="11" t="s">
        <v>48</v>
      </c>
      <c r="B36" s="16"/>
      <c r="C36" s="16"/>
      <c r="D36" s="16"/>
      <c r="E36" s="16"/>
      <c r="F36" s="16"/>
    </row>
    <row r="37" spans="1:6" ht="13.5" customHeight="1" x14ac:dyDescent="0.25">
      <c r="A37" s="21" t="s">
        <v>49</v>
      </c>
      <c r="B37" s="16"/>
      <c r="C37" s="16"/>
      <c r="D37" s="16"/>
      <c r="E37" s="16"/>
      <c r="F37" s="16"/>
    </row>
    <row r="38" spans="1:6" ht="13.5" customHeight="1" x14ac:dyDescent="0.2">
      <c r="A38" s="27" t="s">
        <v>451</v>
      </c>
      <c r="B38" s="16">
        <v>1885401436</v>
      </c>
      <c r="C38" s="16">
        <v>2164674879.71</v>
      </c>
      <c r="D38" s="16">
        <v>-279273443.71000004</v>
      </c>
      <c r="E38" s="16">
        <v>1324485876.6500001</v>
      </c>
      <c r="F38" s="16">
        <v>840189003.05999994</v>
      </c>
    </row>
    <row r="39" spans="1:6" ht="13.5" customHeight="1" x14ac:dyDescent="0.2">
      <c r="A39" s="27" t="s">
        <v>452</v>
      </c>
      <c r="B39" s="16">
        <v>3523356306</v>
      </c>
      <c r="C39" s="16">
        <v>4178417619.4400001</v>
      </c>
      <c r="D39" s="16">
        <v>-655061313.44000006</v>
      </c>
      <c r="E39" s="16">
        <v>2951735907.3299999</v>
      </c>
      <c r="F39" s="16">
        <v>1226681712.1100001</v>
      </c>
    </row>
    <row r="40" spans="1:6" ht="13.5" customHeight="1" x14ac:dyDescent="0.2">
      <c r="A40" s="27" t="s">
        <v>67</v>
      </c>
      <c r="B40" s="16">
        <v>504295464</v>
      </c>
      <c r="C40" s="16">
        <v>3491879464</v>
      </c>
      <c r="D40" s="16">
        <v>-2987584000</v>
      </c>
      <c r="E40" s="16">
        <v>3407226494.0100002</v>
      </c>
      <c r="F40" s="16">
        <v>84652969.989999771</v>
      </c>
    </row>
    <row r="41" spans="1:6" ht="13.5" customHeight="1" x14ac:dyDescent="0.25">
      <c r="A41" s="21" t="s">
        <v>52</v>
      </c>
      <c r="B41" s="16"/>
      <c r="C41" s="16"/>
      <c r="D41" s="16"/>
      <c r="E41" s="16"/>
      <c r="F41" s="16"/>
    </row>
    <row r="42" spans="1:6" ht="13.5" customHeight="1" x14ac:dyDescent="0.2">
      <c r="A42" s="27" t="s">
        <v>451</v>
      </c>
      <c r="B42" s="16">
        <v>308805248</v>
      </c>
      <c r="C42" s="16">
        <v>328627821.33999997</v>
      </c>
      <c r="D42" s="16">
        <v>-19822573.339999974</v>
      </c>
      <c r="E42" s="16">
        <v>200956945.83000001</v>
      </c>
      <c r="F42" s="16">
        <v>127670875.50999996</v>
      </c>
    </row>
    <row r="43" spans="1:6" ht="13.5" customHeight="1" x14ac:dyDescent="0.2">
      <c r="A43" s="27" t="s">
        <v>452</v>
      </c>
      <c r="B43" s="16">
        <v>1656490068</v>
      </c>
      <c r="C43" s="16">
        <v>1945188783.5</v>
      </c>
      <c r="D43" s="16">
        <v>-288698715.5</v>
      </c>
      <c r="E43" s="16">
        <v>1749080697.9000001</v>
      </c>
      <c r="F43" s="16">
        <v>196108085.5999999</v>
      </c>
    </row>
    <row r="44" spans="1:6" ht="13.5" customHeight="1" x14ac:dyDescent="0.2">
      <c r="A44" s="27" t="s">
        <v>67</v>
      </c>
      <c r="B44" s="16">
        <v>8270000</v>
      </c>
      <c r="C44" s="16">
        <v>65290873.200000003</v>
      </c>
      <c r="D44" s="16">
        <v>-57020873.200000003</v>
      </c>
      <c r="E44" s="16">
        <v>59510803.140000001</v>
      </c>
      <c r="F44" s="16">
        <v>5780070.0600000024</v>
      </c>
    </row>
    <row r="45" spans="1:6" ht="13.5" customHeight="1" x14ac:dyDescent="0.25">
      <c r="A45" s="21" t="s">
        <v>53</v>
      </c>
      <c r="B45" s="16"/>
      <c r="C45" s="16"/>
      <c r="D45" s="16"/>
      <c r="E45" s="16"/>
      <c r="F45" s="16"/>
    </row>
    <row r="46" spans="1:6" ht="13.5" customHeight="1" x14ac:dyDescent="0.2">
      <c r="A46" s="27" t="s">
        <v>451</v>
      </c>
      <c r="B46" s="16">
        <v>2319703697</v>
      </c>
      <c r="C46" s="16">
        <v>2319683697</v>
      </c>
      <c r="D46" s="16">
        <v>20000</v>
      </c>
      <c r="E46" s="16">
        <v>1544727751.8199999</v>
      </c>
      <c r="F46" s="16">
        <v>774955945.18000007</v>
      </c>
    </row>
    <row r="47" spans="1:6" ht="13.5" customHeight="1" x14ac:dyDescent="0.2">
      <c r="A47" s="27" t="s">
        <v>452</v>
      </c>
      <c r="B47" s="16">
        <v>1595675814</v>
      </c>
      <c r="C47" s="16">
        <v>2234832929</v>
      </c>
      <c r="D47" s="16">
        <v>-639157115</v>
      </c>
      <c r="E47" s="16">
        <v>2120294495.8099999</v>
      </c>
      <c r="F47" s="16">
        <v>114538433.19000006</v>
      </c>
    </row>
    <row r="48" spans="1:6" ht="13.5" customHeight="1" x14ac:dyDescent="0.2">
      <c r="A48" s="27" t="s">
        <v>67</v>
      </c>
      <c r="B48" s="16">
        <v>160339390</v>
      </c>
      <c r="C48" s="16">
        <v>164774444</v>
      </c>
      <c r="D48" s="16">
        <v>-4435054</v>
      </c>
      <c r="E48" s="16">
        <v>138059086.59</v>
      </c>
      <c r="F48" s="16">
        <v>26715357.409999996</v>
      </c>
    </row>
    <row r="49" spans="1:6" ht="13.5" customHeight="1" x14ac:dyDescent="0.25">
      <c r="A49" s="21" t="s">
        <v>54</v>
      </c>
      <c r="B49" s="16"/>
      <c r="C49" s="16"/>
      <c r="D49" s="16"/>
      <c r="E49" s="16"/>
      <c r="F49" s="16"/>
    </row>
    <row r="50" spans="1:6" ht="13.5" customHeight="1" x14ac:dyDescent="0.2">
      <c r="A50" s="27" t="s">
        <v>451</v>
      </c>
      <c r="B50" s="16">
        <v>7422274</v>
      </c>
      <c r="C50" s="16">
        <v>7422274</v>
      </c>
      <c r="D50" s="16">
        <v>0</v>
      </c>
      <c r="E50" s="16">
        <v>3884311.22</v>
      </c>
      <c r="F50" s="16">
        <v>3537962.78</v>
      </c>
    </row>
    <row r="51" spans="1:6" ht="13.5" customHeight="1" x14ac:dyDescent="0.2">
      <c r="A51" s="27" t="s">
        <v>452</v>
      </c>
      <c r="B51" s="16">
        <v>173232433</v>
      </c>
      <c r="C51" s="16">
        <v>173232433</v>
      </c>
      <c r="D51" s="16">
        <v>0</v>
      </c>
      <c r="E51" s="16">
        <v>140845666.59999999</v>
      </c>
      <c r="F51" s="16">
        <v>32386766.400000006</v>
      </c>
    </row>
    <row r="52" spans="1:6" ht="13.5" customHeight="1" x14ac:dyDescent="0.2">
      <c r="A52" s="27" t="s">
        <v>67</v>
      </c>
      <c r="B52" s="16">
        <v>500000</v>
      </c>
      <c r="C52" s="16">
        <v>500000</v>
      </c>
      <c r="D52" s="16">
        <v>0</v>
      </c>
      <c r="E52" s="16">
        <v>440048</v>
      </c>
      <c r="F52" s="16">
        <v>59952</v>
      </c>
    </row>
    <row r="53" spans="1:6" ht="13.5" hidden="1" customHeight="1" x14ac:dyDescent="0.25">
      <c r="A53" s="21" t="s">
        <v>55</v>
      </c>
      <c r="B53" s="16"/>
      <c r="C53" s="16"/>
      <c r="D53" s="16"/>
      <c r="E53" s="16"/>
      <c r="F53" s="16"/>
    </row>
    <row r="54" spans="1:6" ht="13.5" hidden="1" customHeight="1" x14ac:dyDescent="0.2">
      <c r="A54" s="27" t="s">
        <v>451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</row>
    <row r="55" spans="1:6" ht="13.5" hidden="1" customHeight="1" x14ac:dyDescent="0.2">
      <c r="A55" s="27" t="s">
        <v>452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</row>
    <row r="56" spans="1:6" ht="13.5" hidden="1" customHeight="1" x14ac:dyDescent="0.2">
      <c r="A56" s="27" t="s">
        <v>67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</row>
    <row r="57" spans="1:6" ht="13.5" customHeight="1" x14ac:dyDescent="0.25">
      <c r="A57" s="21" t="s">
        <v>56</v>
      </c>
      <c r="B57" s="16"/>
      <c r="C57" s="16"/>
      <c r="D57" s="16"/>
      <c r="E57" s="16"/>
      <c r="F57" s="16"/>
    </row>
    <row r="58" spans="1:6" ht="13.5" customHeight="1" x14ac:dyDescent="0.2">
      <c r="A58" s="27" t="s">
        <v>451</v>
      </c>
      <c r="B58" s="16">
        <v>187431317</v>
      </c>
      <c r="C58" s="16">
        <v>187431317</v>
      </c>
      <c r="D58" s="16">
        <v>0</v>
      </c>
      <c r="E58" s="16">
        <v>133816615.70999999</v>
      </c>
      <c r="F58" s="16">
        <v>53614701.290000007</v>
      </c>
    </row>
    <row r="59" spans="1:6" ht="13.5" customHeight="1" x14ac:dyDescent="0.2">
      <c r="A59" s="27" t="s">
        <v>452</v>
      </c>
      <c r="B59" s="16">
        <v>636079806</v>
      </c>
      <c r="C59" s="16">
        <v>1277829806</v>
      </c>
      <c r="D59" s="16">
        <v>-641750000</v>
      </c>
      <c r="E59" s="16">
        <v>1088963975.6300001</v>
      </c>
      <c r="F59" s="16">
        <v>188865830.36999989</v>
      </c>
    </row>
    <row r="60" spans="1:6" ht="13.5" customHeight="1" x14ac:dyDescent="0.2">
      <c r="A60" s="27" t="s">
        <v>67</v>
      </c>
      <c r="B60" s="16">
        <v>6590000</v>
      </c>
      <c r="C60" s="16">
        <v>6590000</v>
      </c>
      <c r="D60" s="16">
        <v>0</v>
      </c>
      <c r="E60" s="16">
        <v>2131888</v>
      </c>
      <c r="F60" s="16">
        <v>4458112</v>
      </c>
    </row>
    <row r="61" spans="1:6" ht="13.5" customHeight="1" x14ac:dyDescent="0.25">
      <c r="A61" s="21" t="s">
        <v>57</v>
      </c>
      <c r="B61" s="16"/>
      <c r="C61" s="16"/>
      <c r="D61" s="16"/>
      <c r="E61" s="16"/>
      <c r="F61" s="16"/>
    </row>
    <row r="62" spans="1:6" ht="13.5" customHeight="1" x14ac:dyDescent="0.2">
      <c r="A62" s="27" t="s">
        <v>451</v>
      </c>
      <c r="B62" s="16">
        <v>791039918</v>
      </c>
      <c r="C62" s="16">
        <v>791039918</v>
      </c>
      <c r="D62" s="16">
        <v>0</v>
      </c>
      <c r="E62" s="16">
        <v>573938836.52999997</v>
      </c>
      <c r="F62" s="16">
        <v>217101081.47000003</v>
      </c>
    </row>
    <row r="63" spans="1:6" ht="13.5" customHeight="1" x14ac:dyDescent="0.2">
      <c r="A63" s="27" t="s">
        <v>452</v>
      </c>
      <c r="B63" s="16">
        <v>903546900</v>
      </c>
      <c r="C63" s="16">
        <v>1045843939.12</v>
      </c>
      <c r="D63" s="16">
        <v>-142297039.12</v>
      </c>
      <c r="E63" s="16">
        <v>816565892.01999998</v>
      </c>
      <c r="F63" s="16">
        <v>229278047.10000002</v>
      </c>
    </row>
    <row r="64" spans="1:6" ht="13.5" customHeight="1" x14ac:dyDescent="0.2">
      <c r="A64" s="27" t="s">
        <v>67</v>
      </c>
      <c r="B64" s="16">
        <v>1244488543</v>
      </c>
      <c r="C64" s="16">
        <v>5628479436.8999996</v>
      </c>
      <c r="D64" s="16">
        <v>-4383990893.8999996</v>
      </c>
      <c r="E64" s="16">
        <v>4606868898.1800003</v>
      </c>
      <c r="F64" s="16">
        <v>1021610538.7199993</v>
      </c>
    </row>
    <row r="65" spans="1:6" ht="13.5" customHeight="1" x14ac:dyDescent="0.25">
      <c r="A65" s="21" t="s">
        <v>58</v>
      </c>
      <c r="B65" s="16"/>
      <c r="C65" s="16"/>
      <c r="D65" s="16"/>
      <c r="E65" s="16"/>
      <c r="F65" s="16"/>
    </row>
    <row r="66" spans="1:6" ht="13.5" customHeight="1" x14ac:dyDescent="0.25">
      <c r="A66" s="21" t="s">
        <v>59</v>
      </c>
      <c r="B66" s="16"/>
      <c r="C66" s="16"/>
      <c r="D66" s="16"/>
      <c r="E66" s="16"/>
      <c r="F66" s="16"/>
    </row>
    <row r="67" spans="1:6" ht="13.5" customHeight="1" x14ac:dyDescent="0.2">
      <c r="A67" s="27" t="s">
        <v>453</v>
      </c>
      <c r="B67" s="16">
        <v>3000000</v>
      </c>
      <c r="C67" s="16">
        <v>3000000</v>
      </c>
      <c r="D67" s="16">
        <v>0</v>
      </c>
      <c r="E67" s="16">
        <v>558778.53</v>
      </c>
      <c r="F67" s="16">
        <v>2441221.4699999997</v>
      </c>
    </row>
    <row r="68" spans="1:6" ht="13.5" hidden="1" customHeight="1" x14ac:dyDescent="0.2">
      <c r="A68" s="27" t="s">
        <v>454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</row>
    <row r="69" spans="1:6" ht="13.5" customHeight="1" x14ac:dyDescent="0.25">
      <c r="A69" s="21" t="s">
        <v>61</v>
      </c>
      <c r="B69" s="16"/>
      <c r="C69" s="16"/>
      <c r="D69" s="16"/>
      <c r="E69" s="16"/>
      <c r="F69" s="16"/>
    </row>
    <row r="70" spans="1:6" ht="13.5" customHeight="1" x14ac:dyDescent="0.2">
      <c r="A70" s="27" t="s">
        <v>452</v>
      </c>
      <c r="B70" s="16">
        <v>443884461</v>
      </c>
      <c r="C70" s="16">
        <v>443884461</v>
      </c>
      <c r="D70" s="16">
        <v>0</v>
      </c>
      <c r="E70" s="16">
        <v>0</v>
      </c>
      <c r="F70" s="16">
        <v>443884461</v>
      </c>
    </row>
    <row r="71" spans="1:6" ht="13.5" customHeight="1" x14ac:dyDescent="0.2">
      <c r="A71" s="27" t="s">
        <v>67</v>
      </c>
      <c r="B71" s="16">
        <v>210446925</v>
      </c>
      <c r="C71" s="16">
        <v>210446925</v>
      </c>
      <c r="D71" s="16">
        <v>0</v>
      </c>
      <c r="E71" s="16">
        <v>0</v>
      </c>
      <c r="F71" s="16">
        <v>210446925</v>
      </c>
    </row>
    <row r="72" spans="1:6" ht="13.5" customHeight="1" x14ac:dyDescent="0.25">
      <c r="A72" s="21" t="s">
        <v>62</v>
      </c>
      <c r="B72" s="16"/>
      <c r="C72" s="16"/>
      <c r="D72" s="16"/>
      <c r="E72" s="16"/>
      <c r="F72" s="16"/>
    </row>
    <row r="73" spans="1:6" ht="13.5" hidden="1" customHeight="1" x14ac:dyDescent="0.2">
      <c r="A73" s="27" t="s">
        <v>452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</row>
    <row r="74" spans="1:6" ht="13.5" customHeight="1" x14ac:dyDescent="0.2">
      <c r="A74" s="27" t="s">
        <v>67</v>
      </c>
      <c r="B74" s="16">
        <v>440611970</v>
      </c>
      <c r="C74" s="16">
        <v>1235611970</v>
      </c>
      <c r="D74" s="16">
        <v>-795000000</v>
      </c>
      <c r="E74" s="16">
        <v>0</v>
      </c>
      <c r="F74" s="16">
        <v>1235611970</v>
      </c>
    </row>
    <row r="75" spans="1:6" ht="13.5" hidden="1" customHeight="1" x14ac:dyDescent="0.25">
      <c r="A75" s="21" t="s">
        <v>63</v>
      </c>
      <c r="B75" s="16"/>
      <c r="C75" s="16"/>
      <c r="D75" s="16"/>
      <c r="E75" s="16"/>
      <c r="F75" s="16"/>
    </row>
    <row r="76" spans="1:6" ht="13.5" hidden="1" customHeight="1" x14ac:dyDescent="0.2">
      <c r="A76" s="27" t="s">
        <v>451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</row>
    <row r="77" spans="1:6" ht="13.5" hidden="1" customHeight="1" x14ac:dyDescent="0.2">
      <c r="A77" s="27" t="s">
        <v>452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</row>
    <row r="78" spans="1:6" ht="13.5" hidden="1" customHeight="1" x14ac:dyDescent="0.2">
      <c r="A78" s="27" t="s">
        <v>67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</row>
    <row r="79" spans="1:6" ht="13.5" customHeight="1" x14ac:dyDescent="0.25">
      <c r="A79" s="21" t="s">
        <v>64</v>
      </c>
      <c r="B79" s="16"/>
      <c r="C79" s="16"/>
      <c r="D79" s="16"/>
      <c r="E79" s="16"/>
      <c r="F79" s="16"/>
    </row>
    <row r="80" spans="1:6" ht="13.5" customHeight="1" x14ac:dyDescent="0.2">
      <c r="A80" s="27" t="s">
        <v>451</v>
      </c>
      <c r="B80" s="16">
        <v>1073884461</v>
      </c>
      <c r="C80" s="16">
        <v>1103884461</v>
      </c>
      <c r="D80" s="16">
        <v>-30000000</v>
      </c>
      <c r="E80" s="16"/>
      <c r="F80" s="16">
        <v>1103884461</v>
      </c>
    </row>
    <row r="81" spans="1:6" ht="13.5" customHeight="1" x14ac:dyDescent="0.2">
      <c r="A81" s="27" t="s">
        <v>452</v>
      </c>
      <c r="B81" s="16">
        <v>0</v>
      </c>
      <c r="C81" s="16">
        <v>0</v>
      </c>
      <c r="D81" s="16">
        <v>0</v>
      </c>
      <c r="E81" s="16">
        <v>1098352935.3499999</v>
      </c>
      <c r="F81" s="16">
        <v>-1098352935.3499999</v>
      </c>
    </row>
    <row r="82" spans="1:6" ht="13.5" customHeight="1" x14ac:dyDescent="0.2">
      <c r="A82" s="27" t="s">
        <v>67</v>
      </c>
      <c r="B82" s="16">
        <v>210446925</v>
      </c>
      <c r="C82" s="16">
        <v>210446925</v>
      </c>
      <c r="D82" s="16">
        <v>0</v>
      </c>
      <c r="E82" s="16">
        <v>71259100</v>
      </c>
      <c r="F82" s="16">
        <v>139187825</v>
      </c>
    </row>
    <row r="83" spans="1:6" ht="13.5" customHeight="1" x14ac:dyDescent="0.25">
      <c r="A83" s="13" t="s">
        <v>65</v>
      </c>
      <c r="B83" s="14">
        <v>18294943356</v>
      </c>
      <c r="C83" s="14">
        <v>29219014377.209999</v>
      </c>
      <c r="D83" s="14">
        <v>-10924071021.209999</v>
      </c>
      <c r="E83" s="14">
        <v>22033705004.849998</v>
      </c>
      <c r="F83" s="14">
        <v>7185309372.3599987</v>
      </c>
    </row>
    <row r="84" spans="1:6" ht="13.5" customHeight="1" x14ac:dyDescent="0.25">
      <c r="A84" s="21" t="s">
        <v>66</v>
      </c>
      <c r="B84" s="16"/>
      <c r="C84" s="16"/>
      <c r="D84" s="16"/>
      <c r="E84" s="16"/>
      <c r="F84" s="16"/>
    </row>
    <row r="85" spans="1:6" ht="13.5" customHeight="1" x14ac:dyDescent="0.25">
      <c r="A85" s="21" t="s">
        <v>49</v>
      </c>
      <c r="B85" s="16"/>
      <c r="C85" s="16"/>
      <c r="D85" s="16"/>
      <c r="E85" s="16"/>
      <c r="F85" s="16"/>
    </row>
    <row r="86" spans="1:6" ht="13.5" customHeight="1" x14ac:dyDescent="0.2">
      <c r="A86" s="27" t="s">
        <v>540</v>
      </c>
      <c r="B86" s="16">
        <v>642438561.80999994</v>
      </c>
      <c r="C86" s="16">
        <v>642438561.80999994</v>
      </c>
      <c r="D86" s="16">
        <v>0</v>
      </c>
      <c r="E86" s="16">
        <v>0</v>
      </c>
      <c r="F86" s="16">
        <v>642438561.80999994</v>
      </c>
    </row>
    <row r="87" spans="1:6" ht="13.5" customHeight="1" x14ac:dyDescent="0.25">
      <c r="A87" s="21" t="s">
        <v>52</v>
      </c>
      <c r="B87" s="16"/>
      <c r="C87" s="16"/>
      <c r="D87" s="16"/>
      <c r="E87" s="16"/>
      <c r="F87" s="16"/>
    </row>
    <row r="88" spans="1:6" ht="13.5" customHeight="1" x14ac:dyDescent="0.2">
      <c r="A88" s="27" t="s">
        <v>540</v>
      </c>
      <c r="B88" s="16">
        <v>3969548.29</v>
      </c>
      <c r="C88" s="16">
        <v>3969548.29</v>
      </c>
      <c r="D88" s="16">
        <v>0</v>
      </c>
      <c r="E88" s="16">
        <v>0</v>
      </c>
      <c r="F88" s="16">
        <v>3969548.29</v>
      </c>
    </row>
    <row r="89" spans="1:6" ht="13.5" customHeight="1" x14ac:dyDescent="0.25">
      <c r="A89" s="21" t="s">
        <v>53</v>
      </c>
      <c r="B89" s="16"/>
      <c r="C89" s="16"/>
      <c r="D89" s="16"/>
      <c r="E89" s="16"/>
      <c r="F89" s="16"/>
    </row>
    <row r="90" spans="1:6" ht="13.5" customHeight="1" x14ac:dyDescent="0.2">
      <c r="A90" s="27" t="s">
        <v>540</v>
      </c>
      <c r="B90" s="16">
        <v>117056834.95</v>
      </c>
      <c r="C90" s="16">
        <v>117056834.95</v>
      </c>
      <c r="D90" s="16">
        <v>0</v>
      </c>
      <c r="E90" s="16">
        <v>0</v>
      </c>
      <c r="F90" s="16">
        <v>117056834.95</v>
      </c>
    </row>
    <row r="91" spans="1:6" ht="13.5" customHeight="1" x14ac:dyDescent="0.25">
      <c r="A91" s="21" t="s">
        <v>54</v>
      </c>
      <c r="B91" s="16"/>
      <c r="C91" s="16"/>
      <c r="D91" s="16"/>
      <c r="E91" s="16"/>
      <c r="F91" s="16"/>
    </row>
    <row r="92" spans="1:6" ht="13.5" customHeight="1" x14ac:dyDescent="0.2">
      <c r="A92" s="27" t="s">
        <v>540</v>
      </c>
      <c r="B92" s="16">
        <v>87132.04</v>
      </c>
      <c r="C92" s="16">
        <v>87132.04</v>
      </c>
      <c r="D92" s="16">
        <v>0</v>
      </c>
      <c r="E92" s="16">
        <v>0</v>
      </c>
      <c r="F92" s="16">
        <v>87132.04</v>
      </c>
    </row>
    <row r="93" spans="1:6" ht="13.5" hidden="1" customHeight="1" x14ac:dyDescent="0.25">
      <c r="A93" s="21" t="s">
        <v>55</v>
      </c>
      <c r="B93" s="16"/>
      <c r="C93" s="16"/>
      <c r="D93" s="16"/>
      <c r="E93" s="16"/>
      <c r="F93" s="16"/>
    </row>
    <row r="94" spans="1:6" ht="13.5" hidden="1" customHeight="1" x14ac:dyDescent="0.2">
      <c r="A94" s="27" t="s">
        <v>540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</row>
    <row r="95" spans="1:6" ht="13.5" customHeight="1" x14ac:dyDescent="0.25">
      <c r="A95" s="21" t="s">
        <v>56</v>
      </c>
      <c r="B95" s="16"/>
      <c r="C95" s="16"/>
      <c r="D95" s="16"/>
      <c r="E95" s="16"/>
      <c r="F95" s="16"/>
    </row>
    <row r="96" spans="1:6" ht="13.5" customHeight="1" x14ac:dyDescent="0.2">
      <c r="A96" s="27" t="s">
        <v>67</v>
      </c>
      <c r="B96" s="16">
        <v>6902562</v>
      </c>
      <c r="C96" s="16">
        <v>6902562</v>
      </c>
      <c r="D96" s="16">
        <v>0</v>
      </c>
      <c r="E96" s="16">
        <v>0</v>
      </c>
      <c r="F96" s="16">
        <v>6902562</v>
      </c>
    </row>
    <row r="97" spans="1:6" ht="13.5" customHeight="1" x14ac:dyDescent="0.25">
      <c r="A97" s="21" t="s">
        <v>57</v>
      </c>
      <c r="B97" s="16"/>
      <c r="C97" s="16"/>
      <c r="D97" s="16"/>
      <c r="E97" s="16"/>
      <c r="F97" s="16"/>
    </row>
    <row r="98" spans="1:6" ht="13.5" customHeight="1" x14ac:dyDescent="0.2">
      <c r="A98" s="27" t="s">
        <v>67</v>
      </c>
      <c r="B98" s="16">
        <v>1417854309.1600001</v>
      </c>
      <c r="C98" s="16">
        <v>1417854309.1600001</v>
      </c>
      <c r="D98" s="16">
        <v>0</v>
      </c>
      <c r="E98" s="16">
        <v>0</v>
      </c>
      <c r="F98" s="16">
        <v>1417854309.1600001</v>
      </c>
    </row>
    <row r="99" spans="1:6" ht="13.5" customHeight="1" x14ac:dyDescent="0.25">
      <c r="A99" s="21" t="s">
        <v>61</v>
      </c>
      <c r="B99" s="16"/>
      <c r="C99" s="16"/>
      <c r="D99" s="16"/>
      <c r="E99" s="16"/>
      <c r="F99" s="16"/>
    </row>
    <row r="100" spans="1:6" ht="13.5" customHeight="1" x14ac:dyDescent="0.2">
      <c r="A100" s="27" t="s">
        <v>67</v>
      </c>
      <c r="B100" s="16">
        <v>90809092.579999998</v>
      </c>
      <c r="C100" s="16">
        <v>90809092.579999998</v>
      </c>
      <c r="D100" s="16">
        <v>0</v>
      </c>
      <c r="E100" s="16">
        <v>0</v>
      </c>
      <c r="F100" s="16">
        <v>90809092.579999998</v>
      </c>
    </row>
    <row r="101" spans="1:6" ht="13.5" customHeight="1" x14ac:dyDescent="0.25">
      <c r="A101" s="21" t="s">
        <v>68</v>
      </c>
      <c r="B101" s="16"/>
      <c r="C101" s="16"/>
      <c r="D101" s="16"/>
      <c r="E101" s="16"/>
      <c r="F101" s="16"/>
    </row>
    <row r="102" spans="1:6" ht="13.5" customHeight="1" x14ac:dyDescent="0.2">
      <c r="A102" s="27" t="s">
        <v>67</v>
      </c>
      <c r="B102" s="16">
        <v>578956917.86000001</v>
      </c>
      <c r="C102" s="16">
        <v>578956917.86000001</v>
      </c>
      <c r="D102" s="16">
        <v>0</v>
      </c>
      <c r="E102" s="16">
        <v>0</v>
      </c>
      <c r="F102" s="16">
        <v>578956917.86000001</v>
      </c>
    </row>
    <row r="103" spans="1:6" ht="13.5" customHeight="1" x14ac:dyDescent="0.25">
      <c r="A103" s="13" t="s">
        <v>69</v>
      </c>
      <c r="B103" s="14">
        <v>2858074958.6900001</v>
      </c>
      <c r="C103" s="14">
        <v>2858074958.6900001</v>
      </c>
      <c r="D103" s="14">
        <v>0</v>
      </c>
      <c r="E103" s="14">
        <v>0</v>
      </c>
      <c r="F103" s="14">
        <v>2858074958.6900001</v>
      </c>
    </row>
    <row r="104" spans="1:6" ht="13.5" customHeight="1" x14ac:dyDescent="0.25">
      <c r="A104" s="100" t="s">
        <v>70</v>
      </c>
      <c r="B104" s="41">
        <v>21153018314.689999</v>
      </c>
      <c r="C104" s="41">
        <v>32077089335.899998</v>
      </c>
      <c r="D104" s="41">
        <v>-10924071021.209999</v>
      </c>
      <c r="E104" s="41">
        <v>22033705004.849998</v>
      </c>
      <c r="F104" s="41">
        <v>10043384331.049999</v>
      </c>
    </row>
    <row r="105" spans="1:6" ht="13.5" customHeight="1" x14ac:dyDescent="0.25">
      <c r="A105" s="13" t="s">
        <v>35</v>
      </c>
      <c r="B105" s="14">
        <v>-8066390601.6899986</v>
      </c>
      <c r="C105" s="14">
        <v>-18990461622.899998</v>
      </c>
      <c r="D105" s="14">
        <v>10924071021.209999</v>
      </c>
      <c r="E105" s="14">
        <v>-6145404065.8999977</v>
      </c>
      <c r="F105" s="14">
        <v>-12845057557</v>
      </c>
    </row>
    <row r="106" spans="1:6" ht="13.5" customHeight="1" x14ac:dyDescent="0.2">
      <c r="A106" s="1"/>
      <c r="B106" s="36"/>
      <c r="C106" s="36"/>
      <c r="D106" s="36"/>
      <c r="E106" s="36"/>
      <c r="F106" s="36"/>
    </row>
    <row r="107" spans="1:6" ht="13.5" customHeight="1" x14ac:dyDescent="0.25">
      <c r="A107" s="11" t="s">
        <v>73</v>
      </c>
      <c r="B107" s="36"/>
      <c r="C107" s="36"/>
      <c r="D107" s="36"/>
      <c r="E107" s="36"/>
      <c r="F107" s="36"/>
    </row>
    <row r="108" spans="1:6" ht="13.5" customHeight="1" x14ac:dyDescent="0.25">
      <c r="A108" s="11" t="s">
        <v>42</v>
      </c>
      <c r="B108" s="36"/>
      <c r="C108" s="36"/>
      <c r="D108" s="36"/>
      <c r="E108" s="36"/>
      <c r="F108" s="36"/>
    </row>
    <row r="109" spans="1:6" ht="13.5" customHeight="1" x14ac:dyDescent="0.25">
      <c r="A109" s="21" t="s">
        <v>438</v>
      </c>
      <c r="B109" s="16"/>
      <c r="C109" s="16"/>
      <c r="D109" s="16"/>
      <c r="E109" s="16"/>
      <c r="F109" s="16"/>
    </row>
    <row r="110" spans="1:6" ht="13.5" customHeight="1" x14ac:dyDescent="0.2">
      <c r="A110" s="27" t="s">
        <v>455</v>
      </c>
      <c r="B110" s="16"/>
      <c r="C110" s="16"/>
      <c r="D110" s="16"/>
      <c r="E110" s="16"/>
      <c r="F110" s="16"/>
    </row>
    <row r="111" spans="1:6" ht="13.5" customHeight="1" x14ac:dyDescent="0.2">
      <c r="A111" s="27" t="s">
        <v>439</v>
      </c>
      <c r="B111" s="16">
        <v>0</v>
      </c>
      <c r="C111" s="16">
        <v>0</v>
      </c>
      <c r="D111" s="16">
        <v>0</v>
      </c>
      <c r="E111" s="16">
        <v>1114705118.3499999</v>
      </c>
      <c r="F111" s="16">
        <v>-1114705118.3499999</v>
      </c>
    </row>
    <row r="112" spans="1:6" ht="13.5" hidden="1" customHeight="1" x14ac:dyDescent="0.2">
      <c r="A112" s="27" t="s">
        <v>440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</row>
    <row r="113" spans="1:6" ht="13.5" hidden="1" customHeight="1" x14ac:dyDescent="0.2">
      <c r="A113" s="27" t="s">
        <v>441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</row>
    <row r="114" spans="1:6" ht="13.5" customHeight="1" x14ac:dyDescent="0.25">
      <c r="A114" s="13" t="s">
        <v>43</v>
      </c>
      <c r="B114" s="14">
        <v>0</v>
      </c>
      <c r="C114" s="14">
        <v>0</v>
      </c>
      <c r="D114" s="14">
        <v>0</v>
      </c>
      <c r="E114" s="14">
        <v>1114705118.3499999</v>
      </c>
      <c r="F114" s="14">
        <v>-1114705118.3499999</v>
      </c>
    </row>
    <row r="115" spans="1:6" ht="13.5" customHeight="1" x14ac:dyDescent="0.2">
      <c r="A115" s="27" t="s">
        <v>456</v>
      </c>
      <c r="B115" s="16"/>
      <c r="C115" s="16"/>
      <c r="D115" s="16"/>
      <c r="E115" s="16"/>
      <c r="F115" s="16"/>
    </row>
    <row r="116" spans="1:6" ht="13.5" customHeight="1" x14ac:dyDescent="0.2">
      <c r="A116" s="27" t="s">
        <v>442</v>
      </c>
      <c r="B116" s="16">
        <v>0</v>
      </c>
      <c r="C116" s="16">
        <v>0</v>
      </c>
      <c r="D116" s="16">
        <v>0</v>
      </c>
      <c r="E116" s="16">
        <v>1383293.76</v>
      </c>
      <c r="F116" s="16">
        <v>-1383293.76</v>
      </c>
    </row>
    <row r="117" spans="1:6" ht="13.5" customHeight="1" x14ac:dyDescent="0.2">
      <c r="A117" s="27" t="s">
        <v>443</v>
      </c>
      <c r="B117" s="16">
        <v>0</v>
      </c>
      <c r="C117" s="16">
        <v>0</v>
      </c>
      <c r="D117" s="16">
        <v>0</v>
      </c>
      <c r="E117" s="16">
        <v>39425.760000000002</v>
      </c>
      <c r="F117" s="16">
        <v>-39425.760000000002</v>
      </c>
    </row>
    <row r="118" spans="1:6" ht="13.5" hidden="1" customHeight="1" x14ac:dyDescent="0.2">
      <c r="A118" s="27" t="s">
        <v>444</v>
      </c>
      <c r="B118" s="16">
        <v>0</v>
      </c>
      <c r="C118" s="16">
        <v>0</v>
      </c>
      <c r="D118" s="16">
        <v>0</v>
      </c>
      <c r="E118" s="16">
        <v>0</v>
      </c>
      <c r="F118" s="16">
        <v>0</v>
      </c>
    </row>
    <row r="119" spans="1:6" ht="13.5" customHeight="1" x14ac:dyDescent="0.25">
      <c r="A119" s="13" t="s">
        <v>44</v>
      </c>
      <c r="B119" s="14">
        <v>0</v>
      </c>
      <c r="C119" s="14">
        <v>0</v>
      </c>
      <c r="D119" s="14">
        <v>0</v>
      </c>
      <c r="E119" s="14">
        <v>1422719.52</v>
      </c>
      <c r="F119" s="14">
        <v>-1422719.52</v>
      </c>
    </row>
    <row r="120" spans="1:6" ht="13.5" hidden="1" customHeight="1" x14ac:dyDescent="0.25">
      <c r="A120" s="21" t="s">
        <v>446</v>
      </c>
      <c r="B120" s="16"/>
      <c r="C120" s="16"/>
      <c r="D120" s="16"/>
      <c r="E120" s="16"/>
      <c r="F120" s="16"/>
    </row>
    <row r="121" spans="1:6" ht="27.6" hidden="1" customHeight="1" x14ac:dyDescent="0.2">
      <c r="A121" s="57" t="s">
        <v>541</v>
      </c>
      <c r="B121" s="51">
        <v>0</v>
      </c>
      <c r="C121" s="51">
        <v>0</v>
      </c>
      <c r="D121" s="51">
        <v>0</v>
      </c>
      <c r="E121" s="51">
        <v>0</v>
      </c>
      <c r="F121" s="51">
        <v>0</v>
      </c>
    </row>
    <row r="122" spans="1:6" ht="13.5" hidden="1" customHeight="1" x14ac:dyDescent="0.2">
      <c r="A122" s="27" t="s">
        <v>457</v>
      </c>
      <c r="B122" s="16">
        <v>0</v>
      </c>
      <c r="C122" s="16">
        <v>0</v>
      </c>
      <c r="D122" s="16">
        <v>0</v>
      </c>
      <c r="E122" s="16">
        <v>0</v>
      </c>
      <c r="F122" s="16">
        <v>0</v>
      </c>
    </row>
    <row r="123" spans="1:6" ht="13.5" hidden="1" customHeight="1" x14ac:dyDescent="0.2">
      <c r="A123" s="27" t="s">
        <v>458</v>
      </c>
      <c r="B123" s="16"/>
      <c r="C123" s="16"/>
      <c r="D123" s="16">
        <v>0</v>
      </c>
      <c r="E123" s="16"/>
      <c r="F123" s="16">
        <v>0</v>
      </c>
    </row>
    <row r="124" spans="1:6" ht="13.5" hidden="1" customHeight="1" x14ac:dyDescent="0.2">
      <c r="A124" s="27" t="s">
        <v>447</v>
      </c>
      <c r="B124" s="16">
        <v>0</v>
      </c>
      <c r="C124" s="16">
        <v>0</v>
      </c>
      <c r="D124" s="16">
        <v>0</v>
      </c>
      <c r="E124" s="16">
        <v>0</v>
      </c>
      <c r="F124" s="16">
        <v>0</v>
      </c>
    </row>
    <row r="125" spans="1:6" ht="13.5" hidden="1" customHeight="1" x14ac:dyDescent="0.2">
      <c r="A125" s="27" t="s">
        <v>448</v>
      </c>
      <c r="B125" s="16">
        <v>0</v>
      </c>
      <c r="C125" s="16">
        <v>0</v>
      </c>
      <c r="D125" s="16">
        <v>0</v>
      </c>
      <c r="E125" s="16">
        <v>0</v>
      </c>
      <c r="F125" s="16">
        <v>0</v>
      </c>
    </row>
    <row r="126" spans="1:6" ht="13.5" hidden="1" customHeight="1" x14ac:dyDescent="0.2">
      <c r="A126" s="27" t="s">
        <v>459</v>
      </c>
      <c r="B126" s="16"/>
      <c r="C126" s="16"/>
      <c r="D126" s="16">
        <v>0</v>
      </c>
      <c r="E126" s="16"/>
      <c r="F126" s="16">
        <v>0</v>
      </c>
    </row>
    <row r="127" spans="1:6" ht="13.5" hidden="1" customHeight="1" x14ac:dyDescent="0.2">
      <c r="A127" s="27" t="s">
        <v>449</v>
      </c>
      <c r="B127" s="16">
        <v>0</v>
      </c>
      <c r="C127" s="16">
        <v>0</v>
      </c>
      <c r="D127" s="16">
        <v>0</v>
      </c>
      <c r="E127" s="16">
        <v>0</v>
      </c>
      <c r="F127" s="16">
        <v>0</v>
      </c>
    </row>
    <row r="128" spans="1:6" ht="13.5" hidden="1" customHeight="1" x14ac:dyDescent="0.2">
      <c r="A128" s="27" t="s">
        <v>460</v>
      </c>
      <c r="B128" s="16">
        <v>0</v>
      </c>
      <c r="C128" s="16">
        <v>0</v>
      </c>
      <c r="D128" s="16">
        <v>0</v>
      </c>
      <c r="E128" s="16">
        <v>0</v>
      </c>
      <c r="F128" s="16">
        <v>0</v>
      </c>
    </row>
    <row r="129" spans="1:6" ht="13.5" hidden="1" customHeight="1" x14ac:dyDescent="0.25">
      <c r="A129" s="13" t="s">
        <v>45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</row>
    <row r="130" spans="1:6" ht="13.5" hidden="1" customHeight="1" x14ac:dyDescent="0.25">
      <c r="A130" s="13" t="s">
        <v>450</v>
      </c>
      <c r="B130" s="14">
        <v>0</v>
      </c>
      <c r="C130" s="14"/>
      <c r="D130" s="14">
        <v>0</v>
      </c>
      <c r="E130" s="14">
        <v>0</v>
      </c>
      <c r="F130" s="14">
        <v>0</v>
      </c>
    </row>
    <row r="131" spans="1:6" ht="13.5" customHeight="1" x14ac:dyDescent="0.25">
      <c r="A131" s="23" t="s">
        <v>46</v>
      </c>
      <c r="B131" s="14">
        <v>0</v>
      </c>
      <c r="C131" s="14">
        <v>0</v>
      </c>
      <c r="D131" s="14">
        <v>0</v>
      </c>
      <c r="E131" s="14">
        <v>1116127837.8699999</v>
      </c>
      <c r="F131" s="14">
        <v>-1116127837.8699999</v>
      </c>
    </row>
    <row r="132" spans="1:6" ht="13.5" customHeight="1" x14ac:dyDescent="0.2">
      <c r="A132" s="1"/>
      <c r="B132" s="16"/>
      <c r="C132" s="16"/>
      <c r="D132" s="16"/>
      <c r="E132" s="16"/>
      <c r="F132" s="16"/>
    </row>
    <row r="133" spans="1:6" ht="13.5" customHeight="1" x14ac:dyDescent="0.25">
      <c r="A133" s="11" t="s">
        <v>47</v>
      </c>
      <c r="B133" s="16"/>
      <c r="C133" s="16"/>
      <c r="D133" s="16"/>
      <c r="E133" s="16"/>
      <c r="F133" s="16"/>
    </row>
    <row r="134" spans="1:6" ht="13.5" customHeight="1" x14ac:dyDescent="0.25">
      <c r="A134" s="11" t="s">
        <v>48</v>
      </c>
      <c r="B134" s="16"/>
      <c r="C134" s="16"/>
      <c r="D134" s="16"/>
      <c r="E134" s="16"/>
      <c r="F134" s="16"/>
    </row>
    <row r="135" spans="1:6" ht="13.5" hidden="1" customHeight="1" x14ac:dyDescent="0.25">
      <c r="A135" s="21" t="s">
        <v>49</v>
      </c>
      <c r="B135" s="16"/>
      <c r="C135" s="16"/>
      <c r="D135" s="16"/>
      <c r="E135" s="16"/>
      <c r="F135" s="16"/>
    </row>
    <row r="136" spans="1:6" ht="13.5" hidden="1" customHeight="1" x14ac:dyDescent="0.2">
      <c r="A136" s="27" t="s">
        <v>451</v>
      </c>
      <c r="B136" s="16">
        <v>0</v>
      </c>
      <c r="C136" s="16">
        <v>0</v>
      </c>
      <c r="D136" s="16">
        <v>0</v>
      </c>
      <c r="E136" s="16">
        <v>0</v>
      </c>
      <c r="F136" s="16">
        <v>0</v>
      </c>
    </row>
    <row r="137" spans="1:6" ht="13.5" hidden="1" customHeight="1" x14ac:dyDescent="0.2">
      <c r="A137" s="27" t="s">
        <v>452</v>
      </c>
      <c r="B137" s="16">
        <v>0</v>
      </c>
      <c r="C137" s="16">
        <v>0</v>
      </c>
      <c r="D137" s="16">
        <v>0</v>
      </c>
      <c r="E137" s="16">
        <v>0</v>
      </c>
      <c r="F137" s="16">
        <v>0</v>
      </c>
    </row>
    <row r="138" spans="1:6" ht="13.5" hidden="1" customHeight="1" x14ac:dyDescent="0.2">
      <c r="A138" s="27" t="s">
        <v>67</v>
      </c>
      <c r="B138" s="16">
        <v>0</v>
      </c>
      <c r="C138" s="16">
        <v>0</v>
      </c>
      <c r="D138" s="16">
        <v>0</v>
      </c>
      <c r="E138" s="16">
        <v>0</v>
      </c>
      <c r="F138" s="16">
        <v>0</v>
      </c>
    </row>
    <row r="139" spans="1:6" ht="13.5" customHeight="1" x14ac:dyDescent="0.25">
      <c r="A139" s="21" t="s">
        <v>52</v>
      </c>
      <c r="B139" s="16"/>
      <c r="C139" s="16"/>
      <c r="D139" s="16"/>
      <c r="E139" s="16"/>
      <c r="F139" s="16"/>
    </row>
    <row r="140" spans="1:6" ht="13.5" customHeight="1" x14ac:dyDescent="0.2">
      <c r="A140" s="27" t="s">
        <v>451</v>
      </c>
      <c r="B140" s="16">
        <v>185000000</v>
      </c>
      <c r="C140" s="16">
        <v>293100000</v>
      </c>
      <c r="D140" s="16">
        <v>-108100000</v>
      </c>
      <c r="E140" s="16">
        <v>83173280.640000001</v>
      </c>
      <c r="F140" s="16">
        <v>209926719.36000001</v>
      </c>
    </row>
    <row r="141" spans="1:6" ht="13.5" customHeight="1" x14ac:dyDescent="0.2">
      <c r="A141" s="27" t="s">
        <v>452</v>
      </c>
      <c r="B141" s="16">
        <v>1115652001.53</v>
      </c>
      <c r="C141" s="16">
        <v>1148491128.53</v>
      </c>
      <c r="D141" s="16">
        <v>-32839127</v>
      </c>
      <c r="E141" s="16">
        <v>970462075.32000005</v>
      </c>
      <c r="F141" s="16">
        <v>178029053.20999992</v>
      </c>
    </row>
    <row r="142" spans="1:6" ht="13.5" customHeight="1" x14ac:dyDescent="0.2">
      <c r="A142" s="27" t="s">
        <v>67</v>
      </c>
      <c r="B142" s="16">
        <v>10793200</v>
      </c>
      <c r="C142" s="16">
        <v>10793200</v>
      </c>
      <c r="D142" s="16">
        <v>0</v>
      </c>
      <c r="E142" s="16"/>
      <c r="F142" s="16">
        <v>10793200</v>
      </c>
    </row>
    <row r="143" spans="1:6" ht="13.5" hidden="1" customHeight="1" x14ac:dyDescent="0.25">
      <c r="A143" s="21" t="s">
        <v>53</v>
      </c>
      <c r="B143" s="16"/>
      <c r="C143" s="16"/>
      <c r="D143" s="16"/>
      <c r="E143" s="16"/>
      <c r="F143" s="16"/>
    </row>
    <row r="144" spans="1:6" ht="13.5" hidden="1" customHeight="1" x14ac:dyDescent="0.2">
      <c r="A144" s="27" t="s">
        <v>451</v>
      </c>
      <c r="B144" s="16">
        <v>0</v>
      </c>
      <c r="C144" s="16">
        <v>0</v>
      </c>
      <c r="D144" s="16">
        <v>0</v>
      </c>
      <c r="E144" s="16">
        <v>0</v>
      </c>
      <c r="F144" s="16">
        <v>0</v>
      </c>
    </row>
    <row r="145" spans="1:6" ht="13.5" hidden="1" customHeight="1" x14ac:dyDescent="0.2">
      <c r="A145" s="27" t="s">
        <v>452</v>
      </c>
      <c r="B145" s="16">
        <v>0</v>
      </c>
      <c r="C145" s="16">
        <v>0</v>
      </c>
      <c r="D145" s="16">
        <v>0</v>
      </c>
      <c r="E145" s="16">
        <v>0</v>
      </c>
      <c r="F145" s="16">
        <v>0</v>
      </c>
    </row>
    <row r="146" spans="1:6" ht="13.5" hidden="1" customHeight="1" x14ac:dyDescent="0.2">
      <c r="A146" s="27" t="s">
        <v>67</v>
      </c>
      <c r="B146" s="16">
        <v>0</v>
      </c>
      <c r="C146" s="16">
        <v>0</v>
      </c>
      <c r="D146" s="16">
        <v>0</v>
      </c>
      <c r="E146" s="16">
        <v>0</v>
      </c>
      <c r="F146" s="16">
        <v>0</v>
      </c>
    </row>
    <row r="147" spans="1:6" ht="13.5" hidden="1" customHeight="1" x14ac:dyDescent="0.25">
      <c r="A147" s="21" t="s">
        <v>54</v>
      </c>
      <c r="B147" s="16"/>
      <c r="C147" s="16"/>
      <c r="D147" s="16"/>
      <c r="E147" s="16"/>
      <c r="F147" s="16"/>
    </row>
    <row r="148" spans="1:6" ht="13.5" hidden="1" customHeight="1" x14ac:dyDescent="0.2">
      <c r="A148" s="27" t="s">
        <v>451</v>
      </c>
      <c r="B148" s="16">
        <v>0</v>
      </c>
      <c r="C148" s="16">
        <v>0</v>
      </c>
      <c r="D148" s="16">
        <v>0</v>
      </c>
      <c r="E148" s="16">
        <v>0</v>
      </c>
      <c r="F148" s="16">
        <v>0</v>
      </c>
    </row>
    <row r="149" spans="1:6" ht="13.5" hidden="1" customHeight="1" x14ac:dyDescent="0.2">
      <c r="A149" s="27" t="s">
        <v>452</v>
      </c>
      <c r="B149" s="16">
        <v>0</v>
      </c>
      <c r="C149" s="16">
        <v>0</v>
      </c>
      <c r="D149" s="16">
        <v>0</v>
      </c>
      <c r="E149" s="16">
        <v>0</v>
      </c>
      <c r="F149" s="16">
        <v>0</v>
      </c>
    </row>
    <row r="150" spans="1:6" ht="13.5" hidden="1" customHeight="1" x14ac:dyDescent="0.2">
      <c r="A150" s="27" t="s">
        <v>67</v>
      </c>
      <c r="B150" s="16">
        <v>0</v>
      </c>
      <c r="C150" s="16">
        <v>0</v>
      </c>
      <c r="D150" s="16">
        <v>0</v>
      </c>
      <c r="E150" s="16">
        <v>0</v>
      </c>
      <c r="F150" s="16">
        <v>0</v>
      </c>
    </row>
    <row r="151" spans="1:6" ht="13.5" hidden="1" customHeight="1" x14ac:dyDescent="0.25">
      <c r="A151" s="21" t="s">
        <v>55</v>
      </c>
      <c r="B151" s="16"/>
      <c r="C151" s="16"/>
      <c r="D151" s="16"/>
      <c r="E151" s="16"/>
      <c r="F151" s="16"/>
    </row>
    <row r="152" spans="1:6" ht="13.5" hidden="1" customHeight="1" x14ac:dyDescent="0.2">
      <c r="A152" s="27" t="s">
        <v>451</v>
      </c>
      <c r="B152" s="16">
        <v>0</v>
      </c>
      <c r="C152" s="16">
        <v>0</v>
      </c>
      <c r="D152" s="16">
        <v>0</v>
      </c>
      <c r="E152" s="16">
        <v>0</v>
      </c>
      <c r="F152" s="16">
        <v>0</v>
      </c>
    </row>
    <row r="153" spans="1:6" ht="13.5" hidden="1" customHeight="1" x14ac:dyDescent="0.2">
      <c r="A153" s="27" t="s">
        <v>452</v>
      </c>
      <c r="B153" s="16">
        <v>0</v>
      </c>
      <c r="C153" s="16">
        <v>0</v>
      </c>
      <c r="D153" s="16">
        <v>0</v>
      </c>
      <c r="E153" s="16">
        <v>0</v>
      </c>
      <c r="F153" s="16">
        <v>0</v>
      </c>
    </row>
    <row r="154" spans="1:6" ht="13.5" hidden="1" customHeight="1" x14ac:dyDescent="0.2">
      <c r="A154" s="27" t="s">
        <v>67</v>
      </c>
      <c r="B154" s="16">
        <v>0</v>
      </c>
      <c r="C154" s="16">
        <v>0</v>
      </c>
      <c r="D154" s="16">
        <v>0</v>
      </c>
      <c r="E154" s="16">
        <v>0</v>
      </c>
      <c r="F154" s="16">
        <v>0</v>
      </c>
    </row>
    <row r="155" spans="1:6" ht="13.5" hidden="1" customHeight="1" x14ac:dyDescent="0.25">
      <c r="A155" s="21" t="s">
        <v>56</v>
      </c>
      <c r="B155" s="16"/>
      <c r="C155" s="16"/>
      <c r="D155" s="16"/>
      <c r="E155" s="16"/>
      <c r="F155" s="16"/>
    </row>
    <row r="156" spans="1:6" ht="13.5" hidden="1" customHeight="1" x14ac:dyDescent="0.2">
      <c r="A156" s="27" t="s">
        <v>451</v>
      </c>
      <c r="B156" s="16">
        <v>0</v>
      </c>
      <c r="C156" s="16">
        <v>0</v>
      </c>
      <c r="D156" s="16">
        <v>0</v>
      </c>
      <c r="E156" s="16">
        <v>0</v>
      </c>
      <c r="F156" s="16">
        <v>0</v>
      </c>
    </row>
    <row r="157" spans="1:6" ht="13.5" hidden="1" customHeight="1" x14ac:dyDescent="0.2">
      <c r="A157" s="27" t="s">
        <v>452</v>
      </c>
      <c r="B157" s="16">
        <v>0</v>
      </c>
      <c r="C157" s="16">
        <v>0</v>
      </c>
      <c r="D157" s="16">
        <v>0</v>
      </c>
      <c r="E157" s="16">
        <v>0</v>
      </c>
      <c r="F157" s="16">
        <v>0</v>
      </c>
    </row>
    <row r="158" spans="1:6" ht="13.5" hidden="1" customHeight="1" x14ac:dyDescent="0.2">
      <c r="A158" s="27" t="s">
        <v>67</v>
      </c>
      <c r="B158" s="16">
        <v>0</v>
      </c>
      <c r="C158" s="16">
        <v>0</v>
      </c>
      <c r="D158" s="16">
        <v>0</v>
      </c>
      <c r="E158" s="16">
        <v>0</v>
      </c>
      <c r="F158" s="16">
        <v>0</v>
      </c>
    </row>
    <row r="159" spans="1:6" ht="13.5" hidden="1" customHeight="1" x14ac:dyDescent="0.25">
      <c r="A159" s="21" t="s">
        <v>57</v>
      </c>
      <c r="B159" s="16"/>
      <c r="C159" s="16"/>
      <c r="D159" s="16"/>
      <c r="E159" s="16"/>
      <c r="F159" s="16"/>
    </row>
    <row r="160" spans="1:6" ht="13.5" hidden="1" customHeight="1" x14ac:dyDescent="0.2">
      <c r="A160" s="27" t="s">
        <v>451</v>
      </c>
      <c r="B160" s="16">
        <v>0</v>
      </c>
      <c r="C160" s="16">
        <v>0</v>
      </c>
      <c r="D160" s="16">
        <v>0</v>
      </c>
      <c r="E160" s="16">
        <v>0</v>
      </c>
      <c r="F160" s="16">
        <v>0</v>
      </c>
    </row>
    <row r="161" spans="1:6" ht="13.5" hidden="1" customHeight="1" x14ac:dyDescent="0.2">
      <c r="A161" s="27" t="s">
        <v>452</v>
      </c>
      <c r="B161" s="16">
        <v>0</v>
      </c>
      <c r="C161" s="16">
        <v>0</v>
      </c>
      <c r="D161" s="16">
        <v>0</v>
      </c>
      <c r="E161" s="16">
        <v>0</v>
      </c>
      <c r="F161" s="16">
        <v>0</v>
      </c>
    </row>
    <row r="162" spans="1:6" ht="13.5" hidden="1" customHeight="1" x14ac:dyDescent="0.2">
      <c r="A162" s="27" t="s">
        <v>67</v>
      </c>
      <c r="B162" s="16">
        <v>0</v>
      </c>
      <c r="C162" s="16">
        <v>0</v>
      </c>
      <c r="D162" s="16">
        <v>0</v>
      </c>
      <c r="E162" s="16">
        <v>0</v>
      </c>
      <c r="F162" s="16">
        <v>0</v>
      </c>
    </row>
    <row r="163" spans="1:6" ht="13.5" hidden="1" customHeight="1" x14ac:dyDescent="0.25">
      <c r="A163" s="21" t="s">
        <v>58</v>
      </c>
      <c r="B163" s="16"/>
      <c r="C163" s="16"/>
      <c r="D163" s="16"/>
      <c r="E163" s="16"/>
      <c r="F163" s="16"/>
    </row>
    <row r="164" spans="1:6" ht="13.5" hidden="1" customHeight="1" x14ac:dyDescent="0.25">
      <c r="A164" s="21" t="s">
        <v>59</v>
      </c>
      <c r="B164" s="16"/>
      <c r="C164" s="16"/>
      <c r="D164" s="16"/>
      <c r="E164" s="16"/>
      <c r="F164" s="16"/>
    </row>
    <row r="165" spans="1:6" ht="13.5" hidden="1" customHeight="1" x14ac:dyDescent="0.2">
      <c r="A165" s="27" t="s">
        <v>453</v>
      </c>
      <c r="B165" s="16">
        <v>0</v>
      </c>
      <c r="C165" s="16">
        <v>0</v>
      </c>
      <c r="D165" s="16">
        <v>0</v>
      </c>
      <c r="E165" s="16">
        <v>0</v>
      </c>
      <c r="F165" s="16">
        <v>0</v>
      </c>
    </row>
    <row r="166" spans="1:6" ht="13.5" hidden="1" customHeight="1" x14ac:dyDescent="0.2">
      <c r="A166" s="27" t="s">
        <v>454</v>
      </c>
      <c r="B166" s="16">
        <v>0</v>
      </c>
      <c r="C166" s="16">
        <v>0</v>
      </c>
      <c r="D166" s="16">
        <v>0</v>
      </c>
      <c r="E166" s="16">
        <v>0</v>
      </c>
      <c r="F166" s="16">
        <v>0</v>
      </c>
    </row>
    <row r="167" spans="1:6" ht="13.5" hidden="1" customHeight="1" x14ac:dyDescent="0.25">
      <c r="A167" s="21" t="s">
        <v>61</v>
      </c>
      <c r="B167" s="16"/>
      <c r="C167" s="16"/>
      <c r="D167" s="16"/>
      <c r="E167" s="16"/>
      <c r="F167" s="16"/>
    </row>
    <row r="168" spans="1:6" ht="13.5" hidden="1" customHeight="1" x14ac:dyDescent="0.2">
      <c r="A168" s="27" t="s">
        <v>452</v>
      </c>
      <c r="B168" s="16">
        <v>0</v>
      </c>
      <c r="C168" s="16">
        <v>0</v>
      </c>
      <c r="D168" s="16">
        <v>0</v>
      </c>
      <c r="E168" s="16">
        <v>0</v>
      </c>
      <c r="F168" s="16">
        <v>0</v>
      </c>
    </row>
    <row r="169" spans="1:6" ht="13.5" hidden="1" customHeight="1" x14ac:dyDescent="0.2">
      <c r="A169" s="27" t="s">
        <v>67</v>
      </c>
      <c r="B169" s="16">
        <v>0</v>
      </c>
      <c r="C169" s="16">
        <v>0</v>
      </c>
      <c r="D169" s="16">
        <v>0</v>
      </c>
      <c r="E169" s="16">
        <v>0</v>
      </c>
      <c r="F169" s="16">
        <v>0</v>
      </c>
    </row>
    <row r="170" spans="1:6" ht="13.5" hidden="1" customHeight="1" x14ac:dyDescent="0.25">
      <c r="A170" s="21" t="s">
        <v>62</v>
      </c>
      <c r="B170" s="16"/>
      <c r="C170" s="16"/>
      <c r="D170" s="16"/>
      <c r="E170" s="16"/>
      <c r="F170" s="16"/>
    </row>
    <row r="171" spans="1:6" ht="13.5" hidden="1" customHeight="1" x14ac:dyDescent="0.2">
      <c r="A171" s="27" t="s">
        <v>452</v>
      </c>
      <c r="B171" s="16">
        <v>0</v>
      </c>
      <c r="C171" s="16">
        <v>0</v>
      </c>
      <c r="D171" s="16">
        <v>0</v>
      </c>
      <c r="E171" s="16">
        <v>0</v>
      </c>
      <c r="F171" s="16">
        <v>0</v>
      </c>
    </row>
    <row r="172" spans="1:6" ht="13.5" hidden="1" customHeight="1" x14ac:dyDescent="0.2">
      <c r="A172" s="27" t="s">
        <v>67</v>
      </c>
      <c r="B172" s="16">
        <v>0</v>
      </c>
      <c r="C172" s="16">
        <v>0</v>
      </c>
      <c r="D172" s="16">
        <v>0</v>
      </c>
      <c r="E172" s="16">
        <v>0</v>
      </c>
      <c r="F172" s="16">
        <v>0</v>
      </c>
    </row>
    <row r="173" spans="1:6" ht="13.5" hidden="1" customHeight="1" x14ac:dyDescent="0.25">
      <c r="A173" s="21" t="s">
        <v>63</v>
      </c>
      <c r="B173" s="16"/>
      <c r="C173" s="16"/>
      <c r="D173" s="16"/>
      <c r="E173" s="16"/>
      <c r="F173" s="16"/>
    </row>
    <row r="174" spans="1:6" ht="13.5" hidden="1" customHeight="1" x14ac:dyDescent="0.2">
      <c r="A174" s="27" t="s">
        <v>451</v>
      </c>
      <c r="B174" s="16">
        <v>0</v>
      </c>
      <c r="C174" s="16">
        <v>0</v>
      </c>
      <c r="D174" s="16">
        <v>0</v>
      </c>
      <c r="E174" s="16">
        <v>0</v>
      </c>
      <c r="F174" s="16">
        <v>0</v>
      </c>
    </row>
    <row r="175" spans="1:6" ht="13.5" hidden="1" customHeight="1" x14ac:dyDescent="0.2">
      <c r="A175" s="27" t="s">
        <v>452</v>
      </c>
      <c r="B175" s="16">
        <v>0</v>
      </c>
      <c r="C175" s="16">
        <v>0</v>
      </c>
      <c r="D175" s="16">
        <v>0</v>
      </c>
      <c r="E175" s="16">
        <v>0</v>
      </c>
      <c r="F175" s="16">
        <v>0</v>
      </c>
    </row>
    <row r="176" spans="1:6" ht="13.5" hidden="1" customHeight="1" x14ac:dyDescent="0.2">
      <c r="A176" s="27" t="s">
        <v>67</v>
      </c>
      <c r="B176" s="16">
        <v>0</v>
      </c>
      <c r="C176" s="16">
        <v>0</v>
      </c>
      <c r="D176" s="16">
        <v>0</v>
      </c>
      <c r="E176" s="16">
        <v>0</v>
      </c>
      <c r="F176" s="16">
        <v>0</v>
      </c>
    </row>
    <row r="177" spans="1:6" ht="13.5" hidden="1" customHeight="1" x14ac:dyDescent="0.25">
      <c r="A177" s="21" t="s">
        <v>64</v>
      </c>
      <c r="B177" s="16"/>
      <c r="C177" s="16"/>
      <c r="D177" s="16"/>
      <c r="E177" s="16"/>
      <c r="F177" s="16"/>
    </row>
    <row r="178" spans="1:6" ht="13.5" hidden="1" customHeight="1" x14ac:dyDescent="0.2">
      <c r="A178" s="27" t="s">
        <v>451</v>
      </c>
      <c r="B178" s="16">
        <v>0</v>
      </c>
      <c r="C178" s="16">
        <v>0</v>
      </c>
      <c r="D178" s="16">
        <v>0</v>
      </c>
      <c r="E178" s="16">
        <v>0</v>
      </c>
      <c r="F178" s="16">
        <v>0</v>
      </c>
    </row>
    <row r="179" spans="1:6" ht="13.5" hidden="1" customHeight="1" x14ac:dyDescent="0.2">
      <c r="A179" s="27" t="s">
        <v>452</v>
      </c>
      <c r="B179" s="16">
        <v>0</v>
      </c>
      <c r="C179" s="16">
        <v>0</v>
      </c>
      <c r="D179" s="16">
        <v>0</v>
      </c>
      <c r="E179" s="16">
        <v>0</v>
      </c>
      <c r="F179" s="16">
        <v>0</v>
      </c>
    </row>
    <row r="180" spans="1:6" ht="13.5" hidden="1" customHeight="1" x14ac:dyDescent="0.2">
      <c r="A180" s="27" t="s">
        <v>67</v>
      </c>
      <c r="B180" s="16">
        <v>0</v>
      </c>
      <c r="C180" s="16">
        <v>0</v>
      </c>
      <c r="D180" s="16">
        <v>0</v>
      </c>
      <c r="E180" s="16">
        <v>0</v>
      </c>
      <c r="F180" s="16">
        <v>0</v>
      </c>
    </row>
    <row r="181" spans="1:6" ht="13.5" customHeight="1" x14ac:dyDescent="0.25">
      <c r="A181" s="13" t="s">
        <v>65</v>
      </c>
      <c r="B181" s="14">
        <v>1311445201.53</v>
      </c>
      <c r="C181" s="14">
        <v>1452384328.53</v>
      </c>
      <c r="D181" s="14">
        <v>-140939127</v>
      </c>
      <c r="E181" s="14">
        <v>1053635355.96</v>
      </c>
      <c r="F181" s="14">
        <v>398748972.56999993</v>
      </c>
    </row>
    <row r="182" spans="1:6" ht="13.5" hidden="1" customHeight="1" x14ac:dyDescent="0.25">
      <c r="A182" s="21" t="s">
        <v>66</v>
      </c>
      <c r="B182" s="16"/>
      <c r="C182" s="16"/>
      <c r="D182" s="16"/>
      <c r="E182" s="16"/>
      <c r="F182" s="16"/>
    </row>
    <row r="183" spans="1:6" ht="13.5" hidden="1" customHeight="1" x14ac:dyDescent="0.2">
      <c r="A183" s="27" t="s">
        <v>49</v>
      </c>
      <c r="B183" s="16"/>
      <c r="C183" s="16"/>
      <c r="D183" s="16"/>
      <c r="E183" s="16"/>
      <c r="F183" s="16"/>
    </row>
    <row r="184" spans="1:6" ht="13.5" hidden="1" customHeight="1" x14ac:dyDescent="0.2">
      <c r="A184" s="27" t="s">
        <v>51</v>
      </c>
      <c r="B184" s="16">
        <v>0</v>
      </c>
      <c r="C184" s="16">
        <v>0</v>
      </c>
      <c r="D184" s="16">
        <v>0</v>
      </c>
      <c r="E184" s="16">
        <v>0</v>
      </c>
      <c r="F184" s="16">
        <v>0</v>
      </c>
    </row>
    <row r="185" spans="1:6" ht="13.5" hidden="1" customHeight="1" x14ac:dyDescent="0.25">
      <c r="A185" s="21" t="s">
        <v>52</v>
      </c>
      <c r="B185" s="16"/>
      <c r="C185" s="16"/>
      <c r="D185" s="16"/>
      <c r="E185" s="16"/>
      <c r="F185" s="16"/>
    </row>
    <row r="186" spans="1:6" ht="13.5" hidden="1" customHeight="1" x14ac:dyDescent="0.2">
      <c r="A186" s="27" t="s">
        <v>67</v>
      </c>
      <c r="B186" s="16">
        <v>0</v>
      </c>
      <c r="C186" s="16">
        <v>0</v>
      </c>
      <c r="D186" s="16">
        <v>0</v>
      </c>
      <c r="E186" s="16">
        <v>0</v>
      </c>
      <c r="F186" s="16">
        <v>0</v>
      </c>
    </row>
    <row r="187" spans="1:6" ht="13.5" hidden="1" customHeight="1" x14ac:dyDescent="0.2">
      <c r="A187" s="27" t="s">
        <v>53</v>
      </c>
      <c r="B187" s="16"/>
      <c r="C187" s="16"/>
      <c r="D187" s="16"/>
      <c r="E187" s="16"/>
      <c r="F187" s="16"/>
    </row>
    <row r="188" spans="1:6" ht="13.5" hidden="1" customHeight="1" x14ac:dyDescent="0.2">
      <c r="A188" s="27" t="s">
        <v>51</v>
      </c>
      <c r="B188" s="16">
        <v>0</v>
      </c>
      <c r="C188" s="16">
        <v>0</v>
      </c>
      <c r="D188" s="16">
        <v>0</v>
      </c>
      <c r="E188" s="16">
        <v>0</v>
      </c>
      <c r="F188" s="16">
        <v>0</v>
      </c>
    </row>
    <row r="189" spans="1:6" ht="13.5" hidden="1" customHeight="1" x14ac:dyDescent="0.2">
      <c r="A189" s="27" t="s">
        <v>54</v>
      </c>
      <c r="B189" s="16"/>
      <c r="C189" s="16"/>
      <c r="D189" s="16"/>
      <c r="E189" s="16"/>
      <c r="F189" s="16"/>
    </row>
    <row r="190" spans="1:6" ht="13.5" hidden="1" customHeight="1" x14ac:dyDescent="0.2">
      <c r="A190" s="27" t="s">
        <v>51</v>
      </c>
      <c r="B190" s="16">
        <v>0</v>
      </c>
      <c r="C190" s="16">
        <v>0</v>
      </c>
      <c r="D190" s="16">
        <v>0</v>
      </c>
      <c r="E190" s="16">
        <v>0</v>
      </c>
      <c r="F190" s="16">
        <v>0</v>
      </c>
    </row>
    <row r="191" spans="1:6" ht="13.5" hidden="1" customHeight="1" x14ac:dyDescent="0.2">
      <c r="A191" s="27" t="s">
        <v>55</v>
      </c>
      <c r="B191" s="16"/>
      <c r="C191" s="16"/>
      <c r="D191" s="16"/>
      <c r="E191" s="16"/>
      <c r="F191" s="16"/>
    </row>
    <row r="192" spans="1:6" ht="13.5" hidden="1" customHeight="1" x14ac:dyDescent="0.2">
      <c r="A192" s="27" t="s">
        <v>51</v>
      </c>
      <c r="B192" s="16">
        <v>0</v>
      </c>
      <c r="C192" s="16">
        <v>0</v>
      </c>
      <c r="D192" s="16">
        <v>0</v>
      </c>
      <c r="E192" s="16">
        <v>0</v>
      </c>
      <c r="F192" s="16">
        <v>0</v>
      </c>
    </row>
    <row r="193" spans="1:6" ht="13.5" hidden="1" customHeight="1" x14ac:dyDescent="0.2">
      <c r="A193" s="27" t="s">
        <v>56</v>
      </c>
      <c r="B193" s="16"/>
      <c r="C193" s="16"/>
      <c r="D193" s="16"/>
      <c r="E193" s="16"/>
      <c r="F193" s="16"/>
    </row>
    <row r="194" spans="1:6" ht="13.5" hidden="1" customHeight="1" x14ac:dyDescent="0.2">
      <c r="A194" s="27" t="s">
        <v>67</v>
      </c>
      <c r="B194" s="16">
        <v>0</v>
      </c>
      <c r="C194" s="16">
        <v>0</v>
      </c>
      <c r="D194" s="16">
        <v>0</v>
      </c>
      <c r="E194" s="16"/>
      <c r="F194" s="16">
        <v>0</v>
      </c>
    </row>
    <row r="195" spans="1:6" ht="13.5" hidden="1" customHeight="1" x14ac:dyDescent="0.2">
      <c r="A195" s="27" t="s">
        <v>57</v>
      </c>
      <c r="B195" s="16"/>
      <c r="C195" s="16"/>
      <c r="D195" s="16"/>
      <c r="E195" s="16"/>
      <c r="F195" s="16"/>
    </row>
    <row r="196" spans="1:6" ht="13.5" hidden="1" customHeight="1" x14ac:dyDescent="0.2">
      <c r="A196" s="27" t="s">
        <v>67</v>
      </c>
      <c r="B196" s="16">
        <v>0</v>
      </c>
      <c r="C196" s="16">
        <v>0</v>
      </c>
      <c r="D196" s="16">
        <v>0</v>
      </c>
      <c r="E196" s="16">
        <v>0</v>
      </c>
      <c r="F196" s="16">
        <v>0</v>
      </c>
    </row>
    <row r="197" spans="1:6" ht="13.5" hidden="1" customHeight="1" x14ac:dyDescent="0.2">
      <c r="A197" s="27" t="s">
        <v>61</v>
      </c>
      <c r="B197" s="16"/>
      <c r="C197" s="16"/>
      <c r="D197" s="16"/>
      <c r="E197" s="16"/>
      <c r="F197" s="16"/>
    </row>
    <row r="198" spans="1:6" ht="13.5" hidden="1" customHeight="1" x14ac:dyDescent="0.2">
      <c r="A198" s="27" t="s">
        <v>67</v>
      </c>
      <c r="B198" s="16">
        <v>0</v>
      </c>
      <c r="C198" s="16">
        <v>0</v>
      </c>
      <c r="D198" s="16">
        <v>0</v>
      </c>
      <c r="E198" s="16">
        <v>0</v>
      </c>
      <c r="F198" s="16">
        <v>0</v>
      </c>
    </row>
    <row r="199" spans="1:6" ht="13.5" hidden="1" customHeight="1" x14ac:dyDescent="0.2">
      <c r="A199" s="27" t="s">
        <v>68</v>
      </c>
      <c r="B199" s="16"/>
      <c r="C199" s="16"/>
      <c r="D199" s="16"/>
      <c r="E199" s="16"/>
      <c r="F199" s="16"/>
    </row>
    <row r="200" spans="1:6" ht="13.5" hidden="1" customHeight="1" x14ac:dyDescent="0.2">
      <c r="A200" s="27" t="s">
        <v>67</v>
      </c>
      <c r="B200" s="16">
        <v>0</v>
      </c>
      <c r="C200" s="16">
        <v>0</v>
      </c>
      <c r="D200" s="16">
        <v>0</v>
      </c>
      <c r="E200" s="16">
        <v>0</v>
      </c>
      <c r="F200" s="16">
        <v>0</v>
      </c>
    </row>
    <row r="201" spans="1:6" ht="13.5" hidden="1" customHeight="1" x14ac:dyDescent="0.25">
      <c r="A201" s="13" t="s">
        <v>69</v>
      </c>
      <c r="B201" s="14">
        <v>0</v>
      </c>
      <c r="C201" s="14">
        <v>0</v>
      </c>
      <c r="D201" s="14">
        <v>0</v>
      </c>
      <c r="E201" s="14">
        <v>0</v>
      </c>
      <c r="F201" s="14">
        <v>0</v>
      </c>
    </row>
    <row r="202" spans="1:6" ht="13.5" customHeight="1" x14ac:dyDescent="0.25">
      <c r="A202" s="23" t="s">
        <v>70</v>
      </c>
      <c r="B202" s="14">
        <v>1311445201.53</v>
      </c>
      <c r="C202" s="14">
        <v>1452384328.53</v>
      </c>
      <c r="D202" s="14">
        <v>-140939127</v>
      </c>
      <c r="E202" s="14">
        <v>1053635355.96</v>
      </c>
      <c r="F202" s="14">
        <v>398748972.56999993</v>
      </c>
    </row>
    <row r="203" spans="1:6" ht="13.5" customHeight="1" x14ac:dyDescent="0.25">
      <c r="A203" s="13" t="s">
        <v>35</v>
      </c>
      <c r="B203" s="14">
        <v>-1311445201.53</v>
      </c>
      <c r="C203" s="14">
        <v>-1452384328.53</v>
      </c>
      <c r="D203" s="14">
        <v>140939127</v>
      </c>
      <c r="E203" s="14">
        <v>62492481.909999847</v>
      </c>
      <c r="F203" s="14">
        <v>-1514876810.4399998</v>
      </c>
    </row>
    <row r="204" spans="1:6" ht="15.75" customHeight="1" x14ac:dyDescent="0.2"/>
    <row r="205" spans="1:6" ht="15.75" customHeight="1" x14ac:dyDescent="0.2"/>
    <row r="206" spans="1:6" ht="15.75" customHeight="1" x14ac:dyDescent="0.2"/>
    <row r="207" spans="1:6" ht="15.75" customHeight="1" x14ac:dyDescent="0.2"/>
    <row r="208" spans="1: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</sheetData>
  <sheetProtection algorithmName="SHA-512" hashValue="SGAFU5R1k+gO/DKJhhSrnyK43+yCKYgvMtYmy4MDq4WZaYHY+gQm6G2/7Vtj9Te+H33P50KPryGMOUJPQ9rY4g==" saltValue="0pGxM4sjCzYHen0yfmtukg==" spinCount="100000" sheet="1" objects="1" scenarios="1" selectLockedCells="1" selectUnlockedCells="1"/>
  <mergeCells count="9">
    <mergeCell ref="E7:E8"/>
    <mergeCell ref="F7:F8"/>
    <mergeCell ref="A2:F2"/>
    <mergeCell ref="A3:F3"/>
    <mergeCell ref="A4:F4"/>
    <mergeCell ref="A5:F5"/>
    <mergeCell ref="A7:A8"/>
    <mergeCell ref="B7:C7"/>
    <mergeCell ref="D7:D8"/>
  </mergeCells>
  <pageMargins left="0.70866141732283472" right="0.70866141732283472" top="0.74803149606299213" bottom="0.74803149606299213" header="0" footer="0"/>
  <pageSetup scale="88" fitToHeight="0" orientation="landscape" r:id="rId1"/>
  <headerFooter>
    <oddHeader>&amp;R&amp;"Arial,Bold"&amp;11ANNEX 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Annex A</vt:lpstr>
      <vt:lpstr>Annex B</vt:lpstr>
      <vt:lpstr>Annex C</vt:lpstr>
      <vt:lpstr>Annex D</vt:lpstr>
      <vt:lpstr>Annex E</vt:lpstr>
      <vt:lpstr>'Annex A'!Print_Area</vt:lpstr>
      <vt:lpstr>'Annex B'!Print_Area</vt:lpstr>
      <vt:lpstr>'Annex C'!Print_Area</vt:lpstr>
      <vt:lpstr>'Annex D'!Print_Area</vt:lpstr>
      <vt:lpstr>'Annex E'!Print_Area</vt:lpstr>
      <vt:lpstr>'Annex A'!Print_Titles</vt:lpstr>
      <vt:lpstr>'Annex B'!Print_Titles</vt:lpstr>
      <vt:lpstr>'Annex C'!Print_Titles</vt:lpstr>
      <vt:lpstr>'Annex D'!Print_Titles</vt:lpstr>
      <vt:lpstr>'Annex 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Pasig City, NCR</dc:creator>
  <cp:lastModifiedBy>Marcelino E. Delgado Jr.</cp:lastModifiedBy>
  <cp:lastPrinted>2025-12-09T05:46:41Z</cp:lastPrinted>
  <dcterms:created xsi:type="dcterms:W3CDTF">2025-04-03T04:22:36Z</dcterms:created>
  <dcterms:modified xsi:type="dcterms:W3CDTF">2025-12-09T05:47:24Z</dcterms:modified>
</cp:coreProperties>
</file>